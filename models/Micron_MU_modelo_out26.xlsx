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Premissas" sheetId="2" state="visible" r:id="rId4"/>
    <sheet name="Operacional" sheetId="3" state="visible" r:id="rId5"/>
    <sheet name="DRE" sheetId="4" state="visible" r:id="rId6"/>
    <sheet name="BP" sheetId="5" state="visible" r:id="rId7"/>
    <sheet name="FC" sheetId="6" state="visible" r:id="rId8"/>
    <sheet name="Suporte" sheetId="7" state="visible" r:id="rId9"/>
    <sheet name="DCF" sheetId="8" state="visible" r:id="rId10"/>
    <sheet name="Multiplos" sheetId="9" state="visible" r:id="rId11"/>
    <sheet name="Trimestral" sheetId="10" state="visible" r:id="rId12"/>
    <sheet name="Ciclo" sheetId="11" state="visible" r:id="rId13"/>
    <sheet name="Nota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LF</author>
  </authors>
  <commentList>
    <comment ref="B13" authorId="0">
      <text>
        <r>
          <rPr>
            <sz val="10"/>
            <rFont val="Arial"/>
            <family val="2"/>
          </rPr>
          <t xml:space="preserve">FY27: +46 p.p. e carry-over do preco de saida do 4T26 (indice 379 vs media FY26 259); restante = altas t/t moderadas.</t>
        </r>
      </text>
    </comment>
    <comment ref="B67" authorId="0">
      <text>
        <r>
          <rPr>
            <sz val="10"/>
            <rFont val="Arial"/>
            <family val="2"/>
          </rPr>
          <t xml:space="preserve">Liquido de incentivos governamentais (definicao da Micron). Sem guia anual FY27: 1T27 ~11,5 bi, 1S27 ~25 bi, 2S 'maior' (call 4T26).</t>
        </r>
      </text>
    </comment>
    <comment ref="B73" authorId="0">
      <text>
        <r>
          <rPr>
            <sz val="10"/>
            <rFont val="Arial"/>
            <family val="2"/>
          </rPr>
          <t xml:space="preserve">Realizado FY24-26: 20,5% / 21,0% / 20,4% do PP&amp;E liquido inicial; cai enquanto obra civil (nao depreciada) domina o capex.</t>
        </r>
      </text>
    </comment>
    <comment ref="B85" authorId="0">
      <text>
        <r>
          <rPr>
            <sz val="10"/>
            <rFont val="Arial"/>
            <family val="2"/>
          </rPr>
          <t xml:space="preserve">Base anual: CR / receita x 365 (FY26A 99 dias, distorcido pela rampa intra-ano).</t>
        </r>
      </text>
    </comment>
    <comment ref="B91" authorId="0">
      <text>
        <r>
          <rPr>
            <sz val="10"/>
            <rFont val="Arial"/>
            <family val="2"/>
          </rPr>
          <t xml:space="preserve">Estoque / COGS anual x 365 (FY26A 147); nao e o DIO trimestral da empresa (129 dias no 4T26).</t>
        </r>
      </text>
    </comment>
    <comment ref="B97" authorId="0">
      <text>
        <r>
          <rPr>
            <sz val="10"/>
            <rFont val="Arial"/>
            <family val="2"/>
          </rPr>
          <t xml:space="preserve">(Fornecedores + provisoes) / COGS x 365 (FY26A 321; capex e bonus inflam o passivo).</t>
        </r>
      </text>
    </comment>
    <comment ref="B103" authorId="0">
      <text>
        <r>
          <rPr>
            <sz val="10"/>
            <rFont val="Arial"/>
            <family val="2"/>
          </rPr>
          <t xml:space="preserve">100% do caixa excedente a partir de 9-dez-26 (CFO, call 4T26); autorizacao nova nao anunciada.</t>
        </r>
      </text>
    </comment>
    <comment ref="B121" authorId="0">
      <text>
        <r>
          <rPr>
            <sz val="10"/>
            <rFont val="Arial"/>
            <family val="2"/>
          </rPr>
          <t xml:space="preserve">Estimativa: cupom medio ponderado das notas (~4,3%, 10-Q mai/26) + finance leases 4,72%; ver bloco de divida no Suporte.</t>
        </r>
      </text>
    </comment>
    <comment ref="B127" authorId="0">
      <text>
        <r>
          <rPr>
            <sz val="10"/>
            <rFont val="Arial"/>
            <family val="2"/>
          </rPr>
          <t xml:space="preserve">Esboco de preco medio de recompra por cenario (premissas_final.json, meta.conventions.buyback_price_sketch); so afeta a contagem de acoes.</t>
        </r>
      </text>
    </comment>
    <comment ref="B133" authorId="0">
      <text>
        <r>
          <rPr>
            <sz val="10"/>
            <rFont val="Arial"/>
            <family val="2"/>
          </rPr>
          <t xml:space="preserve">Estimativa: ~7 mn acoes/ano de diluicao liquida de RSUs (FY24-26: +5 a +18 mn a/a na media diluida).</t>
        </r>
      </text>
    </comment>
    <comment ref="B140" authorId="0">
      <text>
        <r>
          <rPr>
            <sz val="10"/>
            <rFont val="Arial"/>
            <family val="2"/>
          </rPr>
          <t xml:space="preserve">Referencia visual na aba Ciclo (MB media FY13-25 ~33%, picos 45-59%); input independente, nao linkado.</t>
        </r>
      </text>
    </comment>
    <comment ref="B178" authorId="0">
      <text>
        <r>
          <rPr>
            <sz val="10"/>
            <rFont val="Arial"/>
            <family val="2"/>
          </rPr>
          <t xml:space="preserve">Beta bruto 2,23 (Yahoo, 5a mensal); Base 1,82 = ajuste Blume; faixa 1,6-2,3 conforme janela.</t>
        </r>
      </text>
    </comment>
    <comment ref="H199" authorId="0">
      <text>
        <r>
          <rPr>
            <sz val="10"/>
            <rFont val="Arial"/>
            <family val="2"/>
          </rPr>
          <t xml:space="preserve">Estimativa (estimate=true): MB DRAM FY26 ~81,5% = media ponderada por receita das MBs trimestrais estimadas (~62% / 77% / 85% / 86,5% em 1T-4T26; HBM com margem abaixo do DRAM convencional). A MB NAND (~78,6%) e backed out na aba Operacional para bater com o lucro bruto consolidado reportado (107.504). Outros (NOR) 65%. Revisar com o 10-K FY26.</t>
        </r>
      </text>
    </comment>
    <comment ref="H200" authorId="0">
      <text>
        <r>
          <rPr>
            <sz val="10"/>
            <rFont val="Arial"/>
            <family val="2"/>
          </rPr>
          <t xml:space="preserve">Estimativa; receita 'outros' (724) e derivada.</t>
        </r>
      </text>
    </comment>
    <comment ref="I177" authorId="0">
      <text>
        <r>
          <rPr>
            <sz val="10"/>
            <rFont val="Arial"/>
            <family val="2"/>
          </rPr>
          <t xml:space="preserve">FRED DGS10, 06/out/26: 5,27% (07/out tocou 5,36%).</t>
        </r>
      </text>
    </comment>
    <comment ref="I183" authorId="0">
      <text>
        <r>
          <rPr>
            <sz val="10"/>
            <rFont val="Arial"/>
            <family val="2"/>
          </rPr>
          <t xml:space="preserve">Damodaran, ERP implicito 01/out/26: 4,20% (4,42% com spread soberano).</t>
        </r>
      </text>
    </comment>
    <comment ref="I185" authorId="0">
      <text>
        <r>
          <rPr>
            <sz val="10"/>
            <rFont val="Arial"/>
            <family val="2"/>
          </rPr>
          <t xml:space="preserve">UST + ~60 bp (tender mar/26 a T+30/40 bp; OAS BBB ~85 bp). Quotes de bonds MU abaixo do UST estao stale.</t>
        </r>
      </text>
    </comment>
    <comment ref="I188" authorId="0">
      <text>
        <r>
          <rPr>
            <sz val="10"/>
            <rFont val="Arial"/>
            <family val="2"/>
          </rPr>
          <t xml:space="preserve">Divida 5,2 bi / (mkt cap 1,18 tri + 5,2 bi) ~0,4-0,5%.</t>
        </r>
      </text>
    </comment>
    <comment ref="I203" authorId="0">
      <text>
        <r>
          <rPr>
            <sz val="10"/>
            <rFont val="Arial"/>
            <family val="2"/>
          </rPr>
          <t xml:space="preserve">Fechamento 06/out/26 (https://stockinvest.us/stock/MU).</t>
        </r>
      </text>
    </comment>
    <comment ref="I205" authorId="0">
      <text>
        <r>
          <rPr>
            <sz val="10"/>
            <rFont val="Arial"/>
            <family val="2"/>
          </rPr>
          <t xml:space="preserve">wallstreetzen 06/out/26; ultimo cover SEC 1.127,7 mn (10-Q 11/mar/26); 10-K FY26 ainda nao arquivado.</t>
        </r>
      </text>
    </comment>
    <comment ref="I206" authorId="0">
      <text>
        <r>
          <rPr>
            <sz val="10"/>
            <rFont val="Arial"/>
            <family val="2"/>
          </rPr>
          <t xml:space="preserve">Media diluida do 4T26 (8-K ex99.1).</t>
        </r>
      </text>
    </comment>
    <comment ref="I207" authorId="0">
      <text>
        <r>
          <rPr>
            <sz val="10"/>
            <rFont val="Arial"/>
            <family val="2"/>
          </rPr>
          <t xml:space="preserve">stockanalysis/yahoo pos-4T26 (36 est.).</t>
        </r>
      </text>
    </comment>
    <comment ref="I211" authorId="0">
      <text>
        <r>
          <rPr>
            <sz val="10"/>
            <rFont val="Arial"/>
            <family val="2"/>
          </rPr>
          <t xml:space="preserve">49 analistas; high 2.200 (DA Davidson 3.000 em 07/out fora dos agregadores), low ativo 1.200 (MS).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LF</author>
  </authors>
  <commentList>
    <comment ref="F6" authorId="0">
      <text>
        <r>
          <rPr>
            <sz val="10"/>
            <rFont val="Arial"/>
            <family val="2"/>
          </rPr>
          <t xml:space="preserve">Arredondado (17,60 bi) - 10-K FY25 narrativa; estimate</t>
        </r>
      </text>
    </comment>
    <comment ref="F7" authorId="0">
      <text>
        <r>
          <rPr>
            <sz val="10"/>
            <rFont val="Arial"/>
            <family val="2"/>
          </rPr>
          <t xml:space="preserve">Arredondado (7,23 bi); estimate</t>
        </r>
      </text>
    </comment>
    <comment ref="H6" authorId="0">
      <text>
        <r>
          <rPr>
            <sz val="10"/>
            <rFont val="Arial"/>
            <family val="2"/>
          </rPr>
          <t xml:space="preserve">Deck 4T26 via thelec.net (fonte secundaria); conferir no 10-K FY26</t>
        </r>
      </text>
    </comment>
    <comment ref="H8" authorId="0">
      <text>
        <r>
          <rPr>
            <sz val="10"/>
            <rFont val="Arial"/>
            <family val="2"/>
          </rPr>
          <t xml:space="preserve">Derivado: 133.188 - 100.679 - 31.785</t>
        </r>
      </text>
    </comment>
    <comment ref="H28" authorId="0">
      <text>
        <r>
          <rPr>
            <sz val="10"/>
            <rFont val="Arial"/>
            <family val="2"/>
          </rPr>
          <t xml:space="preserve">FY26A backed out: (LB reportado - MB DRAM x rec. DRAM - MB outros x rec. outros) / rec. NAND.</t>
        </r>
      </text>
    </comment>
    <comment ref="H38" authorId="0">
      <text>
        <r>
          <rPr>
            <sz val="10"/>
            <rFont val="Arial"/>
            <family val="2"/>
          </rPr>
          <t xml:space="preserve">Soma dos 4 trimestres do FY26 (8-K/press releases; 1T26 e parte do 2T26 estimados em quarterly.json).</t>
        </r>
      </text>
    </comment>
    <comment ref="H39" authorId="0">
      <text>
        <r>
          <rPr>
            <sz val="10"/>
            <rFont val="Arial"/>
            <family val="2"/>
          </rPr>
          <t xml:space="preserve">Soma dos 4 trimestres do FY26 (8-K/press releases; 1T26 e parte do 2T26 estimados em quarterly.json).</t>
        </r>
      </text>
    </comment>
    <comment ref="H40" authorId="0">
      <text>
        <r>
          <rPr>
            <sz val="10"/>
            <rFont val="Arial"/>
            <family val="2"/>
          </rPr>
          <t xml:space="preserve">Soma dos 4 trimestres do FY26 (8-K/press releases; 1T26 e parte do 2T26 estimados em quarterly.json).</t>
        </r>
      </text>
    </comment>
    <comment ref="H41" authorId="0">
      <text>
        <r>
          <rPr>
            <sz val="10"/>
            <rFont val="Arial"/>
            <family val="2"/>
          </rPr>
          <t xml:space="preserve">Soma dos 4 trimestres do FY26 (8-K/press releases; 1T26 e parte do 2T26 estimados em quarterly.json).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LF</author>
  </authors>
  <commentList>
    <comment ref="D42" authorId="0">
      <text>
        <r>
          <rPr>
            <sz val="10"/>
            <rFont val="Arial"/>
            <family val="2"/>
          </rPr>
          <t xml:space="preserve">Base caixa (0,415); base declarada seria 0,315</t>
        </r>
      </text>
    </comment>
    <comment ref="E12" authorId="0">
      <text>
        <r>
          <rPr>
            <sz val="10"/>
            <rFont val="Arial"/>
            <family val="2"/>
          </rPr>
          <t xml:space="preserve">FY23: reestruturacao 171 + outros 124 (write-down de estoque de 1.831 esta no COGS)</t>
        </r>
      </text>
    </comment>
    <comment ref="F38" authorId="0">
      <text>
        <r>
          <rPr>
            <sz val="10"/>
            <rFont val="Arial"/>
            <family val="2"/>
          </rPr>
          <t xml:space="preserve">Reportado como US$1,47 bi (arredondado)</t>
        </r>
      </text>
    </comment>
    <comment ref="H12" authorId="0">
      <text>
        <r>
          <rPr>
            <sz val="10"/>
            <rFont val="Arial"/>
            <family val="2"/>
          </rPr>
          <t xml:space="preserve">FY26: 'other operating (income) expense, net' 567 do press release; reestruturacao nao aberta ate o 10-K</t>
        </r>
      </text>
    </comment>
    <comment ref="H21" authorId="0">
      <text>
        <r>
          <rPr>
            <sz val="10"/>
            <rFont val="Arial"/>
            <family val="2"/>
          </rPr>
          <t xml:space="preserve">Derivado (residual do LAIR); inclui ~511 de perda em pre-pagamento de divida (tender mar/26)</t>
        </r>
      </text>
    </comment>
    <comment ref="H42" authorId="0">
      <text>
        <r>
          <rPr>
            <sz val="10"/>
            <rFont val="Arial"/>
            <family val="2"/>
          </rPr>
          <t xml:space="preserve">Soma das declaracoes trimestrais FY26: 0,115 x 2 + 0,15 x 2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LF</author>
  </authors>
  <commentList>
    <comment ref="D26" authorId="0">
      <text>
        <r>
          <rPr>
            <sz val="10"/>
            <rFont val="Arial"/>
            <family val="2"/>
          </rPr>
          <t xml:space="preserve">FY22-24: ativo total - passivo total (bate com terceiros)</t>
        </r>
      </text>
    </comment>
    <comment ref="H14" authorId="0">
      <text>
        <r>
          <rPr>
            <sz val="10"/>
            <rFont val="Arial"/>
            <family val="2"/>
          </rPr>
          <t xml:space="preserve">FY26A: so goodwill (1.150); intangiveis, ROU e DTA estao em 'outros ANC' no balanco condensado do press release</t>
        </r>
      </text>
    </comment>
    <comment ref="H23" authorId="0">
      <text>
        <r>
          <rPr>
            <sz val="10"/>
            <rFont val="Arial"/>
            <family val="2"/>
          </rPr>
          <t xml:space="preserve">Depositos de clientes sob SCAs (12.747 recebidos no FY26, em financiamento); parcela corrente nao aberta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LF</author>
  </authors>
  <commentList>
    <comment ref="D28" authorId="0">
      <text>
        <r>
          <rPr>
            <sz val="10"/>
            <rFont val="Arial"/>
            <family val="2"/>
          </rPr>
          <t xml:space="preserve">35,4 mn acoes</t>
        </r>
      </text>
    </comment>
    <comment ref="E8" authorId="0">
      <text>
        <r>
          <rPr>
            <sz val="10"/>
            <rFont val="Arial"/>
            <family val="2"/>
          </rPr>
          <t xml:space="preserve">FY23: write-down de estoque 1.831 + impairment de goodwill 101</t>
        </r>
      </text>
    </comment>
    <comment ref="E29" authorId="0">
      <text>
        <r>
          <rPr>
            <sz val="10"/>
            <rFont val="Arial"/>
            <family val="2"/>
          </rPr>
          <t xml:space="preserve">Emissao 6.716 - amortizacao 761</t>
        </r>
      </text>
    </comment>
    <comment ref="H10" authorId="0">
      <text>
        <r>
          <rPr>
            <sz val="10"/>
            <rFont val="Arial"/>
            <family val="2"/>
          </rPr>
          <t xml:space="preserve">Residual ao FCO; igual a variacao de estoque no BP</t>
        </r>
      </text>
    </comment>
    <comment ref="H13" authorId="0">
      <text>
        <r>
          <rPr>
            <sz val="10"/>
            <rFont val="Arial"/>
            <family val="2"/>
          </rPr>
          <t xml:space="preserve">Outros passivos circulantes 3.141 + outros nao-circulantes 9.633 + demais</t>
        </r>
      </text>
    </comment>
    <comment ref="H17" authorId="0">
      <text>
        <r>
          <rPr>
            <sz val="10"/>
            <rFont val="Arial"/>
            <family val="2"/>
          </rPr>
          <t xml:space="preserve">'Investments in capital expenditures, net' 27,37 bi = PP&amp;E 30.712 - incentivos 3.316 - vendas de PP&amp;E</t>
        </r>
      </text>
    </comment>
    <comment ref="H28" authorId="0">
      <text>
        <r>
          <rPr>
            <sz val="10"/>
            <rFont val="Arial"/>
            <family val="2"/>
          </rPr>
          <t xml:space="preserve">Restricao CHIPS ate 9-dez-26 (so offset de diluicao)</t>
        </r>
      </text>
    </comment>
    <comment ref="H29" authorId="0">
      <text>
        <r>
          <rPr>
            <sz val="10"/>
            <rFont val="Arial"/>
            <family val="2"/>
          </rPr>
          <t xml:space="preserve">Sem emissao; 10.043 de amortizacao (tender de 5,4 bi em abr/26, TLA, notas 2028-2030)</t>
        </r>
      </text>
    </comment>
    <comment ref="H30" authorId="0">
      <text>
        <r>
          <rPr>
            <sz val="10"/>
            <rFont val="Arial"/>
            <family val="2"/>
          </rPr>
          <t xml:space="preserve">Depositos sob SCAs, classificados em financiamento (fora do FCF ajustado)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LF</author>
  </authors>
  <commentList>
    <comment ref="H44" authorId="0">
      <text>
        <r>
          <rPr>
            <sz val="10"/>
            <rFont val="Arial"/>
            <family val="2"/>
          </rPr>
          <t xml:space="preserve">Ponto de partida FY27: ~1.150 mn acoes diluidas guiadas para o 1T27 (call 4T26); media diluida FY26 = 1.143, 4T26 = 1.147.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LF</author>
  </authors>
  <commentList>
    <comment ref="D24" authorId="0">
      <text>
        <r>
          <rPr>
            <sz val="10"/>
            <rFont val="Arial"/>
            <family val="2"/>
          </rPr>
          <t xml:space="preserve">KRW 2026-10-06; https://stockanalysis.com/quote/krx/005930/</t>
        </r>
      </text>
    </comment>
    <comment ref="D25" authorId="0">
      <text>
        <r>
          <rPr>
            <sz val="10"/>
            <rFont val="Arial"/>
            <family val="2"/>
          </rPr>
          <t xml:space="preserve">KRW 2026-10-06; https://stockanalysis.com/quote/krx/000660/market-cap/</t>
        </r>
      </text>
    </comment>
    <comment ref="D26" authorId="0">
      <text>
        <r>
          <rPr>
            <sz val="10"/>
            <rFont val="Arial"/>
            <family val="2"/>
          </rPr>
          <t xml:space="preserve">USD 2026-10-06; https://www.morningstar.com/stocks/xnas/sndk/quote</t>
        </r>
      </text>
    </comment>
    <comment ref="D27" authorId="0">
      <text>
        <r>
          <rPr>
            <sz val="10"/>
            <rFont val="Arial"/>
            <family val="2"/>
          </rPr>
          <t xml:space="preserve">JPY 2026-10-06; https://www.investing.com/equities/kioxia-holdings-historical-data</t>
        </r>
      </text>
    </comment>
    <comment ref="D28" authorId="0">
      <text>
        <r>
          <rPr>
            <sz val="10"/>
            <rFont val="Arial"/>
            <family val="2"/>
          </rPr>
          <t xml:space="preserve">USD 2026-10-06; https://www.marketbeat.com/instant-alerts/price-western-digital-nasdaq-wdc-stock-price-down-69-time-to-sell-2026-10-06/</t>
        </r>
      </text>
    </comment>
    <comment ref="D29" authorId="0">
      <text>
        <r>
          <rPr>
            <sz val="10"/>
            <rFont val="Arial"/>
            <family val="2"/>
          </rPr>
          <t xml:space="preserve">USD 2026-10-06; https://stockanalysis.com/stocks/nvda/</t>
        </r>
      </text>
    </comment>
    <comment ref="E24" authorId="0">
      <text>
        <r>
          <rPr>
            <sz val="10"/>
            <rFont val="Arial"/>
            <family val="2"/>
          </rPr>
          <t xml:space="preserve">derivado (FX 06/out) https://stockanalysis.com/quote/krx/005930/</t>
        </r>
      </text>
    </comment>
    <comment ref="E25" authorId="0">
      <text>
        <r>
          <rPr>
            <sz val="10"/>
            <rFont val="Arial"/>
            <family val="2"/>
          </rPr>
          <t xml:space="preserve">derivado (FX 06/out) https://stockanalysis.com/quote/krx/000660/market-cap/</t>
        </r>
      </text>
    </comment>
    <comment ref="E26" authorId="0">
      <text>
        <r>
          <rPr>
            <sz val="10"/>
            <rFont val="Arial"/>
            <family val="2"/>
          </rPr>
          <t xml:space="preserve"> https://www.cnn.com/markets/stocks/SNDK</t>
        </r>
      </text>
    </comment>
    <comment ref="E27" authorId="0">
      <text>
        <r>
          <rPr>
            <sz val="10"/>
            <rFont val="Arial"/>
            <family val="2"/>
          </rPr>
          <t xml:space="preserve">derivado (FX 06/out) https://stockanalysis.com/quote/tyo/285A/</t>
        </r>
      </text>
    </comment>
    <comment ref="E28" authorId="0">
      <text>
        <r>
          <rPr>
            <sz val="10"/>
            <rFont val="Arial"/>
            <family val="2"/>
          </rPr>
          <t xml:space="preserve"> https://www.morningstar.com/stocks/xnas/wdc/quote</t>
        </r>
      </text>
    </comment>
    <comment ref="E29" authorId="0">
      <text>
        <r>
          <rPr>
            <sz val="10"/>
            <rFont val="Arial"/>
            <family val="2"/>
          </rPr>
          <t xml:space="preserve"> https://stockanalysis.com/stocks/nvda/</t>
        </r>
      </text>
    </comment>
    <comment ref="F25" authorId="0">
      <text>
        <r>
          <rPr>
            <sz val="10"/>
            <rFont val="Arial"/>
            <family val="2"/>
          </rPr>
          <t xml:space="preserve">stockopedia EV KRW 1,272tn (undated, paired with mkt cap 1,338tn -&gt; implies ~66tn net debt incl. leases); converted at 1,337.34 https://www.stockopedia.com/share-prices/sk-hynix-KRX:000660/</t>
        </r>
      </text>
    </comment>
    <comment ref="F26" authorId="0">
      <text>
        <r>
          <rPr>
            <sz val="10"/>
            <rFont val="Arial"/>
            <family val="2"/>
          </rPr>
          <t xml:space="preserve">finviz (undated, paired with mkt cap 248.92bn ~early Oct); stockanalysis late-Sep: EV 259.64 vs cap 265.98 (~6bn net cash) https://finviz.com/stock?t=SNDK</t>
        </r>
      </text>
    </comment>
    <comment ref="F28" authorId="0">
      <text>
        <r>
          <rPr>
            <sz val="10"/>
            <rFont val="Arial"/>
            <family val="2"/>
          </rPr>
          <t xml:space="preserve">stale (price then ~440-460); not re-based to 10/06 https://www.gurufocus.com/term/enterprise-value-to-ebitda/WDC</t>
        </r>
      </text>
    </comment>
    <comment ref="F29" authorId="0">
      <text>
        <r>
          <rPr>
            <sz val="10"/>
            <rFont val="Arial"/>
            <family val="2"/>
          </rPr>
          <t xml:space="preserve">https://stockanalysis.com/stocks/nvda/statistics/</t>
        </r>
      </text>
    </comment>
    <comment ref="G24" authorId="0">
      <text>
        <r>
          <rPr>
            <sz val="10"/>
            <rFont val="Arial"/>
            <family val="2"/>
          </rPr>
          <t xml:space="preserve">12M forward PER (FnGuide, undated, ~early Oct-26); g-enews 9/23/26: fwd PER 5.5x; FnGuide 2026E PER 5.18 https://comp.fnguide.com/SVO2/asp/SVD_Consensus.asp?gicode=A005930</t>
        </r>
      </text>
    </comment>
    <comment ref="G25" authorId="0">
      <text>
        <r>
          <rPr>
            <sz val="10"/>
            <rFont val="Arial"/>
            <family val="2"/>
          </rPr>
          <t xml:space="preserve">marketscreener P/E 2026E 4.88x / 2027E 3.61x at 10/07 close 1,723,000 (cap 1,255.8tn); at 10/06 close ~5.0x/3.7x https://www.marketscreener.com/quote/stock/SK-HYNIX-INC-6494929/</t>
        </r>
      </text>
    </comment>
    <comment ref="G26" authorId="0">
      <text>
        <r>
          <rPr>
            <sz val="10"/>
            <rFont val="Arial"/>
            <family val="2"/>
          </rPr>
          <t xml:space="preserve">stockanalysis 10/05 (yahoo 8.04; finviz 6.52; marketscreener FY27 7.97x) https://stockanalysis.com/stocks/sndk/financials/ratios/</t>
        </r>
      </text>
    </comment>
    <comment ref="G27" authorId="0">
      <text>
        <r>
          <rPr>
            <sz val="10"/>
            <rFont val="Arial"/>
            <family val="2"/>
          </rPr>
          <t xml:space="preserve">https://stockanalysis.com/quote/tyo/285A/</t>
        </r>
      </text>
    </comment>
    <comment ref="G28" authorId="0">
      <text>
        <r>
          <rPr>
            <sz val="10"/>
            <rFont val="Arial"/>
            <family val="2"/>
          </rPr>
          <t xml:space="preserve">CNBC NTM P/E on 10/06 intraday; gurufocus 20.0x; FY27E EPS 20.09 -&gt; 20.5x at 411.04 https://www.cnbc.com/quotes/WDC</t>
        </r>
      </text>
    </comment>
    <comment ref="G29" authorId="0">
      <text>
        <r>
          <rPr>
            <sz val="10"/>
            <rFont val="Arial"/>
            <family val="2"/>
          </rPr>
          <t xml:space="preserve">https://stockanalysis.com/stocks/nvda/statistics/</t>
        </r>
      </text>
    </comment>
    <comment ref="H24" authorId="0">
      <text>
        <r>
          <rPr>
            <sz val="10"/>
            <rFont val="Arial"/>
            <family val="2"/>
          </rPr>
          <t xml:space="preserve">trailing PER per Korean data vendor (undated); gurufocus TTM 22.85 at 285,000 (Jul-26) is on older EPS https://comp.fnguide.com/SVO2/asp/SVD_Consensus.asp?gicode=A005930</t>
        </r>
      </text>
    </comment>
    <comment ref="H26" authorId="0">
      <text>
        <r>
          <rPr>
            <sz val="10"/>
            <rFont val="Arial"/>
            <family val="2"/>
          </rPr>
          <t xml:space="preserve">https://stockanalysis.com/stocks/sndk/financials/ratios/</t>
        </r>
      </text>
    </comment>
    <comment ref="H27" authorId="0">
      <text>
        <r>
          <rPr>
            <sz val="10"/>
            <rFont val="Arial"/>
            <family val="2"/>
          </rPr>
          <t xml:space="preserve">https://finance.yahoo.com/quote/285A.T/</t>
        </r>
      </text>
    </comment>
    <comment ref="H28" authorId="0">
      <text>
        <r>
          <rPr>
            <sz val="10"/>
            <rFont val="Arial"/>
            <family val="2"/>
          </rPr>
          <t xml:space="preserve">https://www.gurufocus.com/term/forward-pe-ratio/WDC</t>
        </r>
      </text>
    </comment>
    <comment ref="H29" authorId="0">
      <text>
        <r>
          <rPr>
            <sz val="10"/>
            <rFont val="Arial"/>
            <family val="2"/>
          </rPr>
          <t xml:space="preserve">https://stockanalysis.com/stocks/nvda/statistics/</t>
        </r>
      </text>
    </comment>
    <comment ref="I26" authorId="0">
      <text>
        <r>
          <rPr>
            <sz val="10"/>
            <rFont val="Arial"/>
            <family val="2"/>
          </rPr>
          <t xml:space="preserve">marketscreener FY27E (Jul-27) 5.58x, FY26 19.7x, FY28E 4.07x; snapshot 2026-09-04 at ~1,740 (stock now lower -&gt; ~5.3x) https://www.marketscreener.com/quote/stock/SANDISK-CORPORATION-182801077/valuation/</t>
        </r>
      </text>
    </comment>
    <comment ref="J25" authorId="0">
      <text>
        <r>
          <rPr>
            <sz val="10"/>
            <rFont val="Arial"/>
            <family val="2"/>
          </rPr>
          <t xml:space="preserve">https://www.stockopedia.com/share-prices/sk-hynix-KRX:000660/</t>
        </r>
      </text>
    </comment>
    <comment ref="J26" authorId="0">
      <text>
        <r>
          <rPr>
            <sz val="10"/>
            <rFont val="Arial"/>
            <family val="2"/>
          </rPr>
          <t xml:space="preserve">https://stockanalysis.com/stocks/sndk/financials/ratios/</t>
        </r>
      </text>
    </comment>
    <comment ref="J27" authorId="0">
      <text>
        <r>
          <rPr>
            <sz val="10"/>
            <rFont val="Arial"/>
            <family val="2"/>
          </rPr>
          <t xml:space="preserve">undated; yahoo TTM EBITDA JPY 2.37tn consistent (~13.4x at 31.7tn EV) https://www.stockopedia.com/share-prices/kioxia-holdings-TYO:285A/</t>
        </r>
      </text>
    </comment>
    <comment ref="J28" authorId="0">
      <text>
        <r>
          <rPr>
            <sz val="10"/>
            <rFont val="Arial"/>
            <family val="2"/>
          </rPr>
          <t xml:space="preserve">TTM EBITDA 10.4bn to Jun-26; 10y median 8.94x https://www.gurufocus.com/term/enterprise-value-to-ebitda/WDC</t>
        </r>
      </text>
    </comment>
    <comment ref="J29" authorId="0">
      <text>
        <r>
          <rPr>
            <sz val="10"/>
            <rFont val="Arial"/>
            <family val="2"/>
          </rPr>
          <t xml:space="preserve">https://stockanalysis.com/stocks/nvda/statistics/</t>
        </r>
      </text>
    </comment>
    <comment ref="K24" authorId="0">
      <text>
        <r>
          <rPr>
            <sz val="10"/>
            <rFont val="Arial"/>
            <family val="2"/>
          </rPr>
          <t xml:space="preserve">stockopedia trailing P/B 3.0 at ref price 258,500 (undated); Korean vendor trailing PBR 3.24; FnGuide 2026E PBR 2.29 https://www.stockopedia.com/share-prices/samsung-electronics-co-KRX:005930/</t>
        </r>
      </text>
    </comment>
    <comment ref="K25" authorId="0">
      <text>
        <r>
          <rPr>
            <sz val="10"/>
            <rFont val="Arial"/>
            <family val="2"/>
          </rPr>
          <t xml:space="preserve">stockopedia trailing (undated); investing.com BVPS 370,439 -&gt; 4.8x at 10/06 close https://www.stockopedia.com/share-prices/sk-hynix-KRX:000660/</t>
        </r>
      </text>
    </comment>
    <comment ref="K27" authorId="0">
      <text>
        <r>
          <rPr>
            <sz val="10"/>
            <rFont val="Arial"/>
            <family val="2"/>
          </rPr>
          <t xml:space="preserve">undated trailing; stockanalysis older 21.94 (stale) https://www.stockopedia.com/share-prices/kioxia-holdings-TYO:285A/</t>
        </r>
      </text>
    </comment>
    <comment ref="K28" authorId="0">
      <text>
        <r>
          <rPr>
            <sz val="10"/>
            <rFont val="Arial"/>
            <family val="2"/>
          </rPr>
          <t xml:space="preserve">https://www.heygotrade.com/en/us-stock/wdc/</t>
        </r>
      </text>
    </comment>
    <comment ref="K29" authorId="0">
      <text>
        <r>
          <rPr>
            <sz val="10"/>
            <rFont val="Arial"/>
            <family val="2"/>
          </rPr>
          <t xml:space="preserve">https://www.gurufocus.com/term/pb-ratio/NVDA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LF</author>
  </authors>
  <commentList>
    <comment ref="D6" authorId="0">
      <text>
        <r>
          <rPr>
            <sz val="10"/>
            <rFont val="Arial"/>
            <family val="2"/>
          </rPr>
          <t xml:space="preserve">estimado/derivado: derived: 2Q24 DRAM ~4,200 / (1+21% q/q) per 2Q24 prepared remarks; 1Q24 PR dollar split not retrieved</t>
        </r>
      </text>
    </comment>
    <comment ref="D7" authorId="0">
      <text>
        <r>
          <rPr>
            <sz val="10"/>
            <rFont val="Arial"/>
            <family val="2"/>
          </rPr>
          <t xml:space="preserve">estimado/derivado: derived: 2Q24 NAND ~1,600 / (1+27% q/q); not retrieved from 1Q24 PR</t>
        </r>
      </text>
    </comment>
    <comment ref="D9" authorId="0">
      <text>
        <r>
          <rPr>
            <sz val="10"/>
            <rFont val="Arial"/>
            <family val="2"/>
          </rPr>
          <t xml:space="preserve">estimado/derivado: computed -35/4,726</t>
        </r>
      </text>
    </comment>
    <comment ref="D10" authorId="0">
      <text>
        <r>
          <rPr>
            <sz val="10"/>
            <rFont val="Arial"/>
            <family val="2"/>
          </rPr>
          <t xml:space="preserve">estimado/derivado: computed 37/4,726 (non-GAAP GM $37M per 2Q24 PR comparative table)</t>
        </r>
      </text>
    </comment>
    <comment ref="D13" authorId="0">
      <text>
        <r>
          <rPr>
            <sz val="10"/>
            <rFont val="Arial"/>
            <family val="2"/>
          </rPr>
          <t xml:space="preserve">estimado/derivado: PR rounds to $1.05B</t>
        </r>
      </text>
    </comment>
    <comment ref="D16" authorId="0">
      <text>
        <r>
          <rPr>
            <sz val="10"/>
            <rFont val="Arial"/>
            <family val="2"/>
          </rPr>
          <t xml:space="preserve">estimado/derivado: derived GAAP NI / GAAP EPS</t>
        </r>
      </text>
    </comment>
    <comment ref="E6" authorId="0">
      <text>
        <r>
          <rPr>
            <sz val="10"/>
            <rFont val="Arial"/>
            <family val="2"/>
          </rPr>
          <t xml:space="preserve">estimado/derivado: prepared remarks: 'approximately $4.2 billion, 71% of revenue' (rounded)</t>
        </r>
      </text>
    </comment>
    <comment ref="E7" authorId="0">
      <text>
        <r>
          <rPr>
            <sz val="10"/>
            <rFont val="Arial"/>
            <family val="2"/>
          </rPr>
          <t xml:space="preserve">estimado/derivado: prepared remarks: 'approximately $1.6 billion, 27% of revenue' (rounded)</t>
        </r>
      </text>
    </comment>
    <comment ref="E9" authorId="0">
      <text>
        <r>
          <rPr>
            <sz val="10"/>
            <rFont val="Arial"/>
            <family val="2"/>
          </rPr>
          <t xml:space="preserve">estimado/derivado: computed 1,079/5,824</t>
        </r>
      </text>
    </comment>
    <comment ref="E10" authorId="0">
      <text>
        <r>
          <rPr>
            <sz val="10"/>
            <rFont val="Arial"/>
            <family val="2"/>
          </rPr>
          <t xml:space="preserve">estimado/derivado: computed 1,163/5,824 (remarks say 20%)</t>
        </r>
      </text>
    </comment>
    <comment ref="E11" authorId="0">
      <text>
        <r>
          <rPr>
            <sz val="10"/>
            <rFont val="Arial"/>
            <family val="2"/>
          </rPr>
          <t xml:space="preserve">estimado/derivado: derived 1,163 - 204</t>
        </r>
      </text>
    </comment>
    <comment ref="E16" authorId="0">
      <text>
        <r>
          <rPr>
            <sz val="10"/>
            <rFont val="Arial"/>
            <family val="2"/>
          </rPr>
          <t xml:space="preserve">estimado/derivado: derived GAAP NI / GAAP EPS</t>
        </r>
      </text>
    </comment>
    <comment ref="E37" authorId="0">
      <text>
        <r>
          <rPr>
            <sz val="10"/>
            <rFont val="Arial"/>
            <family val="2"/>
          </rPr>
          <t xml:space="preserve">estimado</t>
        </r>
      </text>
    </comment>
    <comment ref="E38" authorId="0">
      <text>
        <r>
          <rPr>
            <sz val="10"/>
            <rFont val="Arial"/>
            <family val="2"/>
          </rPr>
          <t xml:space="preserve">estimado</t>
        </r>
      </text>
    </comment>
    <comment ref="E39" authorId="0">
      <text>
        <r>
          <rPr>
            <sz val="10"/>
            <rFont val="Arial"/>
            <family val="2"/>
          </rPr>
          <t xml:space="preserve">estimado</t>
        </r>
      </text>
    </comment>
    <comment ref="E40" authorId="0">
      <text>
        <r>
          <rPr>
            <sz val="10"/>
            <rFont val="Arial"/>
            <family val="2"/>
          </rPr>
          <t xml:space="preserve">estimado</t>
        </r>
      </text>
    </comment>
    <comment ref="F6" authorId="0">
      <text>
        <r>
          <rPr>
            <sz val="10"/>
            <rFont val="Arial"/>
            <family val="2"/>
          </rPr>
          <t xml:space="preserve">estimado/derivado: investor presentation: ~$4.7B, 69% of revenue (rounded)</t>
        </r>
      </text>
    </comment>
    <comment ref="F7" authorId="0">
      <text>
        <r>
          <rPr>
            <sz val="10"/>
            <rFont val="Arial"/>
            <family val="2"/>
          </rPr>
          <t xml:space="preserve">estimado/derivado: investor presentation: ~$2.1B, 30% of revenue (rounded)</t>
        </r>
      </text>
    </comment>
    <comment ref="F9" authorId="0">
      <text>
        <r>
          <rPr>
            <sz val="10"/>
            <rFont val="Arial"/>
            <family val="2"/>
          </rPr>
          <t xml:space="preserve">estimado/derivado: computed 1,832/6,811</t>
        </r>
      </text>
    </comment>
    <comment ref="F11" authorId="0">
      <text>
        <r>
          <rPr>
            <sz val="10"/>
            <rFont val="Arial"/>
            <family val="2"/>
          </rPr>
          <t xml:space="preserve">estimado/derivado: derived 28.1%*6,811 - 941</t>
        </r>
      </text>
    </comment>
    <comment ref="F16" authorId="0">
      <text>
        <r>
          <rPr>
            <sz val="10"/>
            <rFont val="Arial"/>
            <family val="2"/>
          </rPr>
          <t xml:space="preserve">estimado/derivado: derived non-GAAP NI / non-GAAP EPS</t>
        </r>
      </text>
    </comment>
    <comment ref="F37" authorId="0">
      <text>
        <r>
          <rPr>
            <sz val="10"/>
            <rFont val="Arial"/>
            <family val="2"/>
          </rPr>
          <t xml:space="preserve">estimado</t>
        </r>
      </text>
    </comment>
    <comment ref="F38" authorId="0">
      <text>
        <r>
          <rPr>
            <sz val="10"/>
            <rFont val="Arial"/>
            <family val="2"/>
          </rPr>
          <t xml:space="preserve">estimado</t>
        </r>
      </text>
    </comment>
    <comment ref="F39" authorId="0">
      <text>
        <r>
          <rPr>
            <sz val="10"/>
            <rFont val="Arial"/>
            <family val="2"/>
          </rPr>
          <t xml:space="preserve">estimado</t>
        </r>
      </text>
    </comment>
    <comment ref="F40" authorId="0">
      <text>
        <r>
          <rPr>
            <sz val="10"/>
            <rFont val="Arial"/>
            <family val="2"/>
          </rPr>
          <t xml:space="preserve">estimado</t>
        </r>
      </text>
    </comment>
    <comment ref="G6" authorId="0">
      <text>
        <r>
          <rPr>
            <sz val="10"/>
            <rFont val="Arial"/>
            <family val="2"/>
          </rPr>
          <t xml:space="preserve">estimado/derivado: third-party call summary: ~$5.3B (+93% y/y); not verified against PR</t>
        </r>
      </text>
    </comment>
    <comment ref="G7" authorId="0">
      <text>
        <r>
          <rPr>
            <sz val="10"/>
            <rFont val="Arial"/>
            <family val="2"/>
          </rPr>
          <t xml:space="preserve">estimado/derivado: third-party call summary: ~$2.4B (+96% y/y); not verified against PR</t>
        </r>
      </text>
    </comment>
    <comment ref="G9" authorId="0">
      <text>
        <r>
          <rPr>
            <sz val="10"/>
            <rFont val="Arial"/>
            <family val="2"/>
          </rPr>
          <t xml:space="preserve">estimado/derivado: computed 2,737/7,750</t>
        </r>
      </text>
    </comment>
    <comment ref="G11" authorId="0">
      <text>
        <r>
          <rPr>
            <sz val="10"/>
            <rFont val="Arial"/>
            <family val="2"/>
          </rPr>
          <t xml:space="preserve">estimado/derivado: derived 36.5%*7,750 - 1,745</t>
        </r>
      </text>
    </comment>
    <comment ref="G12" authorId="0">
      <text>
        <r>
          <rPr>
            <sz val="10"/>
            <rFont val="Arial"/>
            <family val="2"/>
          </rPr>
          <t xml:space="preserve">estimado/derivado: from 4Q25 PR comparative table (1,745)</t>
        </r>
      </text>
    </comment>
    <comment ref="G16" authorId="0">
      <text>
        <r>
          <rPr>
            <sz val="10"/>
            <rFont val="Arial"/>
            <family val="2"/>
          </rPr>
          <t xml:space="preserve">estimado/derivado: derived GAAP NI / GAAP EPS</t>
        </r>
      </text>
    </comment>
    <comment ref="G20" authorId="0">
      <text>
        <r>
          <rPr>
            <sz val="10"/>
            <rFont val="Arial"/>
            <family val="2"/>
          </rPr>
          <t xml:space="preserve">estimado/derivado: third-party call summary ($13.4B); not verified against 10-K</t>
        </r>
      </text>
    </comment>
    <comment ref="G21" authorId="0">
      <text>
        <r>
          <rPr>
            <sz val="10"/>
            <rFont val="Arial"/>
            <family val="2"/>
          </rPr>
          <t xml:space="preserve">estimado/derivado: third-party call summary</t>
        </r>
      </text>
    </comment>
    <comment ref="H6" authorId="0">
      <text>
        <r>
          <rPr>
            <sz val="10"/>
            <rFont val="Arial"/>
            <family val="2"/>
          </rPr>
          <t xml:space="preserve">estimado/derivado: third-party summary / remarks: $6.4B, 73% (rounded)</t>
        </r>
      </text>
    </comment>
    <comment ref="H7" authorId="0">
      <text>
        <r>
          <rPr>
            <sz val="10"/>
            <rFont val="Arial"/>
            <family val="2"/>
          </rPr>
          <t xml:space="preserve">estimado/derivado: third-party summary / remarks: $2.2B, 26% (rounded)</t>
        </r>
      </text>
    </comment>
    <comment ref="H9" authorId="0">
      <text>
        <r>
          <rPr>
            <sz val="10"/>
            <rFont val="Arial"/>
            <family val="2"/>
          </rPr>
          <t xml:space="preserve">estimado/derivado: computed 3,348/8,709</t>
        </r>
      </text>
    </comment>
    <comment ref="H11" authorId="0">
      <text>
        <r>
          <rPr>
            <sz val="10"/>
            <rFont val="Arial"/>
            <family val="2"/>
          </rPr>
          <t xml:space="preserve">estimado/derivado: derived 3,441 - 2,394 (remarks: $1.05B)</t>
        </r>
      </text>
    </comment>
    <comment ref="H16" authorId="0">
      <text>
        <r>
          <rPr>
            <sz val="10"/>
            <rFont val="Arial"/>
            <family val="2"/>
          </rPr>
          <t xml:space="preserve">estimado/derivado: derived non-GAAP NI / non-GAAP EPS</t>
        </r>
      </text>
    </comment>
    <comment ref="H37" authorId="0">
      <text>
        <r>
          <rPr>
            <sz val="10"/>
            <rFont val="Arial"/>
            <family val="2"/>
          </rPr>
          <t xml:space="preserve">estimado</t>
        </r>
      </text>
    </comment>
    <comment ref="H38" authorId="0">
      <text>
        <r>
          <rPr>
            <sz val="10"/>
            <rFont val="Arial"/>
            <family val="2"/>
          </rPr>
          <t xml:space="preserve">estimado</t>
        </r>
      </text>
    </comment>
    <comment ref="I6" authorId="0">
      <text>
        <r>
          <rPr>
            <sz val="10"/>
            <rFont val="Arial"/>
            <family val="2"/>
          </rPr>
          <t xml:space="preserve">estimado/derivado: remarks: $6.1B, 76% (rounded)</t>
        </r>
      </text>
    </comment>
    <comment ref="I7" authorId="0">
      <text>
        <r>
          <rPr>
            <sz val="10"/>
            <rFont val="Arial"/>
            <family val="2"/>
          </rPr>
          <t xml:space="preserve">estimado/derivado: remarks: $1.9B, 23% (rounded)</t>
        </r>
      </text>
    </comment>
    <comment ref="I9" authorId="0">
      <text>
        <r>
          <rPr>
            <sz val="10"/>
            <rFont val="Arial"/>
            <family val="2"/>
          </rPr>
          <t xml:space="preserve">estimado/derivado: computed 2,963/8,053</t>
        </r>
      </text>
    </comment>
    <comment ref="I10" authorId="0">
      <text>
        <r>
          <rPr>
            <sz val="10"/>
            <rFont val="Arial"/>
            <family val="2"/>
          </rPr>
          <t xml:space="preserve">estimado/derivado: computed 3,053/8,053 (remarks: 37.9%)</t>
        </r>
      </text>
    </comment>
    <comment ref="I12" authorId="0">
      <text>
        <r>
          <rPr>
            <sz val="10"/>
            <rFont val="Arial"/>
            <family val="2"/>
          </rPr>
          <t xml:space="preserve">estimado/derivado: derived 3,053 - 1,046</t>
        </r>
      </text>
    </comment>
    <comment ref="I16" authorId="0">
      <text>
        <r>
          <rPr>
            <sz val="10"/>
            <rFont val="Arial"/>
            <family val="2"/>
          </rPr>
          <t xml:space="preserve">estimado/derivado: derived non-GAAP NI / non-GAAP EPS</t>
        </r>
      </text>
    </comment>
    <comment ref="J6" authorId="0">
      <text>
        <r>
          <rPr>
            <sz val="10"/>
            <rFont val="Arial"/>
            <family val="2"/>
          </rPr>
          <t xml:space="preserve">estimado/derivado: remarks: $7.1B, 76% (rounded)</t>
        </r>
      </text>
    </comment>
    <comment ref="J7" authorId="0">
      <text>
        <r>
          <rPr>
            <sz val="10"/>
            <rFont val="Arial"/>
            <family val="2"/>
          </rPr>
          <t xml:space="preserve">estimado/derivado: remarks: $2.2B, 23% (rounded)</t>
        </r>
      </text>
    </comment>
    <comment ref="J9" authorId="0">
      <text>
        <r>
          <rPr>
            <sz val="10"/>
            <rFont val="Arial"/>
            <family val="2"/>
          </rPr>
          <t xml:space="preserve">estimado/derivado: computed 3,508/9,301</t>
        </r>
      </text>
    </comment>
    <comment ref="J16" authorId="0">
      <text>
        <r>
          <rPr>
            <sz val="10"/>
            <rFont val="Arial"/>
            <family val="2"/>
          </rPr>
          <t xml:space="preserve">estimado/derivado: 3Q26 PR year-ago column shows 1,125; matches GAAP NI/EPS (1,890/1.68)</t>
        </r>
      </text>
    </comment>
    <comment ref="J17" authorId="0">
      <text>
        <r>
          <rPr>
            <sz val="10"/>
            <rFont val="Arial"/>
            <family val="2"/>
          </rPr>
          <t xml:space="preserve">estimado/derivado: remarks: $2.7B (rounded)</t>
        </r>
      </text>
    </comment>
    <comment ref="J18" authorId="0">
      <text>
        <r>
          <rPr>
            <sz val="10"/>
            <rFont val="Arial"/>
            <family val="2"/>
          </rPr>
          <t xml:space="preserve">estimado/derivado: remarks: 'over $1.9B'</t>
        </r>
      </text>
    </comment>
    <comment ref="K6" authorId="0">
      <text>
        <r>
          <rPr>
            <sz val="10"/>
            <rFont val="Arial"/>
            <family val="2"/>
          </rPr>
          <t xml:space="preserve">estimado/derivado: remarks/third-party: 'record $9.0B', ~79% (rounded)</t>
        </r>
      </text>
    </comment>
    <comment ref="K7" authorId="0">
      <text>
        <r>
          <rPr>
            <sz val="10"/>
            <rFont val="Arial"/>
            <family val="2"/>
          </rPr>
          <t xml:space="preserve">estimado/derivado: remarks: $2.3B, 20% (rounded)</t>
        </r>
      </text>
    </comment>
    <comment ref="K16" authorId="0">
      <text>
        <r>
          <rPr>
            <sz val="10"/>
            <rFont val="Arial"/>
            <family val="2"/>
          </rPr>
          <t xml:space="preserve">estimado/derivado: derived non-GAAP NI / non-GAAP EPS</t>
        </r>
      </text>
    </comment>
    <comment ref="K20" authorId="0">
      <text>
        <r>
          <rPr>
            <sz val="10"/>
            <rFont val="Arial"/>
            <family val="2"/>
          </rPr>
          <t xml:space="preserve">estimado/derivado: remarks: $14.6B after ~$900M paydown; weighted avg maturity 2033</t>
        </r>
      </text>
    </comment>
    <comment ref="K35" authorId="0">
      <text>
        <r>
          <rPr>
            <sz val="10"/>
            <rFont val="Arial"/>
            <family val="2"/>
          </rPr>
          <t xml:space="preserve">estimado</t>
        </r>
      </text>
    </comment>
    <comment ref="L9" authorId="0">
      <text>
        <r>
          <rPr>
            <sz val="10"/>
            <rFont val="Arial"/>
            <family val="2"/>
          </rPr>
          <t xml:space="preserve">estimado/derivado: computed 7,646/13,643</t>
        </r>
      </text>
    </comment>
    <comment ref="L11" authorId="0">
      <text>
        <r>
          <rPr>
            <sz val="10"/>
            <rFont val="Arial"/>
            <family val="2"/>
          </rPr>
          <t xml:space="preserve">estimado/derivado: from 4Q25-search comparative: later release lists non-GAAP opex 1,334</t>
        </r>
      </text>
    </comment>
    <comment ref="L12" authorId="0">
      <text>
        <r>
          <rPr>
            <sz val="10"/>
            <rFont val="Arial"/>
            <family val="2"/>
          </rPr>
          <t xml:space="preserve">estimado/derivado: 10-Q: unallocated (283) -&gt; segments 6,419; call: $6.4B, 47.0%</t>
        </r>
      </text>
    </comment>
    <comment ref="L16" authorId="0">
      <text>
        <r>
          <rPr>
            <sz val="10"/>
            <rFont val="Arial"/>
            <family val="2"/>
          </rPr>
          <t xml:space="preserve">estimado/derivado: derived non-GAAP NI / non-GAAP EPS</t>
        </r>
      </text>
    </comment>
    <comment ref="L17" authorId="0">
      <text>
        <r>
          <rPr>
            <sz val="10"/>
            <rFont val="Arial"/>
            <family val="2"/>
          </rPr>
          <t xml:space="preserve">estimado/derivado: derived CFO 8,411 - adjusted FCF ~3,900</t>
        </r>
      </text>
    </comment>
    <comment ref="L18" authorId="0">
      <text>
        <r>
          <rPr>
            <sz val="10"/>
            <rFont val="Arial"/>
            <family val="2"/>
          </rPr>
          <t xml:space="preserve">estimado/derivado: remarks: $3.9B record (rounded)</t>
        </r>
      </text>
    </comment>
    <comment ref="L19" authorId="0">
      <text>
        <r>
          <rPr>
            <sz val="10"/>
            <rFont val="Arial"/>
            <family val="2"/>
          </rPr>
          <t xml:space="preserve">estimado/derivado: derived debt 11.8B + 'net cash balance over $250M'</t>
        </r>
      </text>
    </comment>
    <comment ref="L32" authorId="0">
      <text>
        <r>
          <rPr>
            <sz val="10"/>
            <rFont val="Arial"/>
            <family val="2"/>
          </rPr>
          <t xml:space="preserve">estimado</t>
        </r>
      </text>
    </comment>
    <comment ref="L33" authorId="0">
      <text>
        <r>
          <rPr>
            <sz val="10"/>
            <rFont val="Arial"/>
            <family val="2"/>
          </rPr>
          <t xml:space="preserve">estimado</t>
        </r>
      </text>
    </comment>
    <comment ref="L34" authorId="0">
      <text>
        <r>
          <rPr>
            <sz val="10"/>
            <rFont val="Arial"/>
            <family val="2"/>
          </rPr>
          <t xml:space="preserve">estimado</t>
        </r>
      </text>
    </comment>
    <comment ref="L35" authorId="0">
      <text>
        <r>
          <rPr>
            <sz val="10"/>
            <rFont val="Arial"/>
            <family val="2"/>
          </rPr>
          <t xml:space="preserve">estimado</t>
        </r>
      </text>
    </comment>
    <comment ref="M6" authorId="0">
      <text>
        <r>
          <rPr>
            <sz val="10"/>
            <rFont val="Arial"/>
            <family val="2"/>
          </rPr>
          <t xml:space="preserve">estimado/derivado: remarks: record $18.8B, 79% (rounded)</t>
        </r>
      </text>
    </comment>
    <comment ref="M7" authorId="0">
      <text>
        <r>
          <rPr>
            <sz val="10"/>
            <rFont val="Arial"/>
            <family val="2"/>
          </rPr>
          <t xml:space="preserve">estimado/derivado: remarks: record $5.0B, 21% (rounded)</t>
        </r>
      </text>
    </comment>
    <comment ref="M12" authorId="0">
      <text>
        <r>
          <rPr>
            <sz val="10"/>
            <rFont val="Arial"/>
            <family val="2"/>
          </rPr>
          <t xml:space="preserve">estimado/derivado: derived 74.9%*23,860 - 1,421 (call: ~$16.5B, 69.0% margin)</t>
        </r>
      </text>
    </comment>
    <comment ref="M17" authorId="0">
      <text>
        <r>
          <rPr>
            <sz val="10"/>
            <rFont val="Arial"/>
            <family val="2"/>
          </rPr>
          <t xml:space="preserve">estimado/derivado: PR: $5.0B (rounded)</t>
        </r>
      </text>
    </comment>
    <comment ref="M18" authorId="0">
      <text>
        <r>
          <rPr>
            <sz val="10"/>
            <rFont val="Arial"/>
            <family val="2"/>
          </rPr>
          <t xml:space="preserve">estimado/derivado: PR: $6.9B (rounded)</t>
        </r>
      </text>
    </comment>
    <comment ref="M33" authorId="0">
      <text>
        <r>
          <rPr>
            <sz val="10"/>
            <rFont val="Arial"/>
            <family val="2"/>
          </rPr>
          <t xml:space="preserve">estimado</t>
        </r>
      </text>
    </comment>
    <comment ref="M34" authorId="0">
      <text>
        <r>
          <rPr>
            <sz val="10"/>
            <rFont val="Arial"/>
            <family val="2"/>
          </rPr>
          <t xml:space="preserve">estimado</t>
        </r>
      </text>
    </comment>
    <comment ref="M35" authorId="0">
      <text>
        <r>
          <rPr>
            <sz val="10"/>
            <rFont val="Arial"/>
            <family val="2"/>
          </rPr>
          <t xml:space="preserve">estimado</t>
        </r>
      </text>
    </comment>
    <comment ref="N6" authorId="0">
      <text>
        <r>
          <rPr>
            <sz val="10"/>
            <rFont val="Arial"/>
            <family val="2"/>
          </rPr>
          <t xml:space="preserve">estimado/derivado: remarks: record $31.3B, 76% (rounded)</t>
        </r>
      </text>
    </comment>
    <comment ref="N7" authorId="0">
      <text>
        <r>
          <rPr>
            <sz val="10"/>
            <rFont val="Arial"/>
            <family val="2"/>
          </rPr>
          <t xml:space="preserve">estimado/derivado: remarks: record $9.9B, 24% (rounded)</t>
        </r>
      </text>
    </comment>
    <comment ref="N17" authorId="0">
      <text>
        <r>
          <rPr>
            <sz val="10"/>
            <rFont val="Arial"/>
            <family val="2"/>
          </rPr>
          <t xml:space="preserve">estimado/derivado: PR: $7.1B (rounded)</t>
        </r>
      </text>
    </comment>
    <comment ref="N18" authorId="0">
      <text>
        <r>
          <rPr>
            <sz val="10"/>
            <rFont val="Arial"/>
            <family val="2"/>
          </rPr>
          <t xml:space="preserve">estimado/derivado: PR: $18.3B (rounded)</t>
        </r>
      </text>
    </comment>
    <comment ref="N20" authorId="0">
      <text>
        <r>
          <rPr>
            <sz val="10"/>
            <rFont val="Arial"/>
            <family val="2"/>
          </rPr>
          <t xml:space="preserve">estimado/derivado: remarks: $5.7B (-$4.4B); net cash $24.4B</t>
        </r>
      </text>
    </comment>
    <comment ref="O5" authorId="0">
      <text>
        <r>
          <rPr>
            <sz val="10"/>
            <rFont val="Arial"/>
            <family val="2"/>
          </rPr>
          <t xml:space="preserve">estimado/derivado: PR: $54.23B (table figure 54,229 per third-party reproduction)</t>
        </r>
      </text>
    </comment>
    <comment ref="O6" authorId="0">
      <text>
        <r>
          <rPr>
            <sz val="10"/>
            <rFont val="Arial"/>
            <family val="2"/>
          </rPr>
          <t xml:space="preserve">estimado/derivado: PR/remarks: record $39.8B, 73% (rounded)</t>
        </r>
      </text>
    </comment>
    <comment ref="O7" authorId="0">
      <text>
        <r>
          <rPr>
            <sz val="10"/>
            <rFont val="Arial"/>
            <family val="2"/>
          </rPr>
          <t xml:space="preserve">estimado/derivado: PR/remarks: record $14.1B, 26% (rounded)</t>
        </r>
      </text>
    </comment>
    <comment ref="O11" authorId="0">
      <text>
        <r>
          <rPr>
            <sz val="10"/>
            <rFont val="Arial"/>
            <family val="2"/>
          </rPr>
          <t xml:space="preserve">estimado/derivado: derived 47,204 - 44,636 (remarks: $2.6B, +$1.1B q/q)</t>
        </r>
      </text>
    </comment>
    <comment ref="O13" authorId="0">
      <text>
        <r>
          <rPr>
            <sz val="10"/>
            <rFont val="Arial"/>
            <family val="2"/>
          </rPr>
          <t xml:space="preserve">estimado/derivado: PR: $38.40B</t>
        </r>
      </text>
    </comment>
    <comment ref="O17" authorId="0">
      <text>
        <r>
          <rPr>
            <sz val="10"/>
            <rFont val="Arial"/>
            <family val="2"/>
          </rPr>
          <t xml:space="preserve">estimado/derivado: task brief: $10.77B (not independently re-verified)</t>
        </r>
      </text>
    </comment>
    <comment ref="O18" authorId="0">
      <text>
        <r>
          <rPr>
            <sz val="10"/>
            <rFont val="Arial"/>
            <family val="2"/>
          </rPr>
          <t xml:space="preserve">estimado/derivado: task brief: $33.2B (not independently re-verified)</t>
        </r>
      </text>
    </comment>
    <comment ref="O20" authorId="0">
      <text>
        <r>
          <rPr>
            <sz val="10"/>
            <rFont val="Arial"/>
            <family val="2"/>
          </rPr>
          <t xml:space="preserve">estimado/derivado: balance sheet: current debt 491 + long-term debt 4,688 (net cash $68.3B per remarks)</t>
        </r>
      </text>
    </comment>
    <comment ref="P5" authorId="0">
      <text>
        <r>
          <rPr>
            <sz val="10"/>
            <rFont val="Arial"/>
            <family val="2"/>
          </rPr>
          <t xml:space="preserve">61,5 bi +/- 1,5 bi (8-K 30/set/26)</t>
        </r>
      </text>
    </comment>
    <comment ref="P10" authorId="0">
      <text>
        <r>
          <rPr>
            <sz val="10"/>
            <rFont val="Arial"/>
            <family val="2"/>
          </rPr>
          <t xml:space="preserve">86,25% +/- 1 p.p.; CFO: piso do FY27</t>
        </r>
      </text>
    </comment>
    <comment ref="P11" authorId="0">
      <text>
        <r>
          <rPr>
            <sz val="10"/>
            <rFont val="Arial"/>
            <family val="2"/>
          </rPr>
          <t xml:space="preserve">GAAP ~2.310</t>
        </r>
      </text>
    </comment>
    <comment ref="P13" authorId="0">
      <text>
        <r>
          <rPr>
            <sz val="10"/>
            <rFont val="Arial"/>
            <family val="2"/>
          </rPr>
          <t xml:space="preserve">EPS x acoes guiadas (sanity)</t>
        </r>
      </text>
    </comment>
    <comment ref="P14" authorId="0">
      <text>
        <r>
          <rPr>
            <sz val="10"/>
            <rFont val="Arial"/>
            <family val="2"/>
          </rPr>
          <t xml:space="preserve">38,15 +/- 1,00</t>
        </r>
      </text>
    </comment>
    <comment ref="P16" authorId="0">
      <text>
        <r>
          <rPr>
            <sz val="10"/>
            <rFont val="Arial"/>
            <family val="2"/>
          </rPr>
          <t xml:space="preserve">~1.150 mn acoes diluidas (call 4T26)</t>
        </r>
      </text>
    </comment>
    <comment ref="P17" authorId="0">
      <text>
        <r>
          <rPr>
            <sz val="10"/>
            <rFont val="Arial"/>
            <family val="2"/>
          </rPr>
          <t xml:space="preserve">~11,5 bi; 1S27 ~25 bi; 2S maior</t>
        </r>
      </text>
    </comment>
    <comment ref="P22" authorId="0">
      <text>
        <r>
          <rPr>
            <sz val="10"/>
            <rFont val="Arial"/>
            <family val="2"/>
          </rPr>
          <t xml:space="preserve">declarado 30/set/26, pago 29/out/26</t>
        </r>
      </text>
    </comment>
  </commentList>
</comments>
</file>

<file path=xl/sharedStrings.xml><?xml version="1.0" encoding="utf-8"?>
<sst xmlns="http://schemas.openxmlformats.org/spreadsheetml/2006/main" count="1336" uniqueCount="994">
  <si>
    <t xml:space="preserve">Micron Technology (MU US) - Resumo do modelo</t>
  </si>
  <si>
    <t xml:space="preserve">US$ mn, exceto onde indicado | ano fiscal termina no inicio de setembro | FY26A nao auditado (8-K 30/set/26), 53 semanas</t>
  </si>
  <si>
    <t xml:space="preserve">Micron Technology | MU US | memoria DRAM/NAND/HBM</t>
  </si>
  <si>
    <t xml:space="preserve">Preco (US$)</t>
  </si>
  <si>
    <t xml:space="preserve">Data do preco</t>
  </si>
  <si>
    <t xml:space="preserve">Preco-alvo 12m (US$)</t>
  </si>
  <si>
    <t xml:space="preserve">Upside</t>
  </si>
  <si>
    <t xml:space="preserve">Mkt cap (US$ bn)</t>
  </si>
  <si>
    <t xml:space="preserve">EV (US$ bn)</t>
  </si>
  <si>
    <t xml:space="preserve">Net cash FY26A (US$ bn)</t>
  </si>
  <si>
    <t xml:space="preserve">Cenario ativo</t>
  </si>
  <si>
    <t xml:space="preserve">Analista</t>
  </si>
  <si>
    <t xml:space="preserve">LF</t>
  </si>
  <si>
    <t xml:space="preserve">Atualizado</t>
  </si>
  <si>
    <t xml:space="preserve">07/out/26</t>
  </si>
  <si>
    <t xml:space="preserve">Checks</t>
  </si>
  <si>
    <t xml:space="preserve">US$ mn, exceto onde indicado</t>
  </si>
  <si>
    <t xml:space="preserve">FY24A</t>
  </si>
  <si>
    <t xml:space="preserve">FY25A</t>
  </si>
  <si>
    <t xml:space="preserve">FY26A</t>
  </si>
  <si>
    <t xml:space="preserve">FY27E</t>
  </si>
  <si>
    <t xml:space="preserve">FY28E</t>
  </si>
  <si>
    <t xml:space="preserve">FY29E</t>
  </si>
  <si>
    <t xml:space="preserve">Rec. liq.</t>
  </si>
  <si>
    <t xml:space="preserve">   cresc. a/a</t>
  </si>
  <si>
    <t xml:space="preserve">MB</t>
  </si>
  <si>
    <t xml:space="preserve">EBITDA</t>
  </si>
  <si>
    <t xml:space="preserve">   mg EBITDA</t>
  </si>
  <si>
    <t xml:space="preserve">EBIT</t>
  </si>
  <si>
    <t xml:space="preserve">LL</t>
  </si>
  <si>
    <t xml:space="preserve">EPS non-GAAP (US$)</t>
  </si>
  <si>
    <t xml:space="preserve">   cresc. EPS non-GAAP</t>
  </si>
  <si>
    <t xml:space="preserve">FCF</t>
  </si>
  <si>
    <t xml:space="preserve">FCF yield</t>
  </si>
  <si>
    <t xml:space="preserve">Net cash</t>
  </si>
  <si>
    <t xml:space="preserve">EV/EBITDA (x)</t>
  </si>
  <si>
    <t xml:space="preserve">P/E non-GAAP (x)</t>
  </si>
  <si>
    <t xml:space="preserve">P/B (x)</t>
  </si>
  <si>
    <t xml:space="preserve">Dividend yield</t>
  </si>
  <si>
    <t xml:space="preserve">Cenarios (snapshot 07/out/26 - atualizar ao mudar premissas)</t>
  </si>
  <si>
    <t xml:space="preserve">Cenario</t>
  </si>
  <si>
    <t xml:space="preserve">PT 12m (US$)</t>
  </si>
  <si>
    <t xml:space="preserve">Rec. FY27E</t>
  </si>
  <si>
    <t xml:space="preserve">EPS ng FY27E</t>
  </si>
  <si>
    <t xml:space="preserve">MB FY27E</t>
  </si>
  <si>
    <t xml:space="preserve">EPS ng FY28E</t>
  </si>
  <si>
    <t xml:space="preserve">Base</t>
  </si>
  <si>
    <t xml:space="preserve">Bull</t>
  </si>
  <si>
    <t xml:space="preserve">Bear</t>
  </si>
  <si>
    <t xml:space="preserve">snapshot 07/out/26 - valores em azul lidos do modelo com Premissas!D4 = 1/2/3; cenario ativo acima e vivo</t>
  </si>
  <si>
    <t xml:space="preserve">Tese</t>
  </si>
  <si>
    <t xml:space="preserve">- FY27E ~75% contratado: guia 1T27 (61,5 bi; MB 86,25% non-GAAP como piso do ano) + carry-over de preco (saida 4T26 +46% DRAM / +60% NAND vs media FY26) entregam ~273 bi e MB ~87% sem alta adicional relevante - FY27 e o pico de margem e o risco de estimativa nele e pequeno.</t>
  </si>
  <si>
    <t xml:space="preserve">- Pico de receita e o FY28E (~300 bi), nao o FY27: ASP de DRAM sobe ate CQ4'27, mas a oferta nova (ID1/Tongluo, M15X/Yongin, P5, CXMT ~420k wpm) chega em CQ1-CQ2'28 e o preco rola; NAND vira antes (2S27).</t>
  </si>
  <si>
    <t xml:space="preserve">- O ciclo nao acabou: ASP DRAM -54% em 2 anos (2018-20) e -48% em 12m (2023) sustentam o ajuste de FY29-30E (receita 213 -&gt; 167 bi), mas o piso de MB (~68%) fica acima de qualquer pico anterior por floors das SCAs (&gt;35% da receita ate 2030), HBM com preco anual e capex em obra civil.</t>
  </si>
  <si>
    <t xml:space="preserve">- Mesmo no vale do Base a empresa gera ~90 bi de LL e ~95 bi de FCF; net cash de 68 bi, fim das restricoes CHIPS em 9-dez-26 e '100% do caixa excedente' em recompras cortam a base de acoes ~40-45% ate FY31E - EPS normalizado muito menos ciclico que a receita.</t>
  </si>
  <si>
    <t xml:space="preserve">- A 5,9x o EPS FY27E de consenso a acao ja precifica um ciclo; a assimetria esta em quando/quanto o preco cai (Bear: vira em CQ2'27, MB 44% no FY30E) vs CY27-28 mais apertados que 2026 (Bull: pico de MB no FY28E, 88,6%).</t>
  </si>
  <si>
    <t xml:space="preserve">Riscos</t>
  </si>
  <si>
    <t xml:space="preserve">- Reversao de preco antes do previsto: spot DDR5 parado desde set/26 com contrato ainda subindo, tetos de LTA ao nivel de CQ2'26, bits em queda em mobile/client; cada -10% de ASP DRAM no FY28 = ~-24 bi de receita e ~-3 p.p. de MB (quase tudo no EBIT).</t>
  </si>
  <si>
    <t xml:space="preserve">- Oferta: Samsung (&gt;110 tri won), SK hynix (high-40s tri won; M15X/Yongin) e CXMT (350k -&gt; 500k wpm, G5 DUV em DDR5/LPDDR) expandem junto com a Micron (capex 27 -&gt; 52 -&gt; 58 bi); D&amp;A sobe de 9,5 para ~23 bi ate FY29E independente do preco.</t>
  </si>
  <si>
    <t xml:space="preserve">- Demanda/IA: DRAM+NAND = 68% do capex de CSPs em 2027 (TrendForce) - participacao insustentavel; digestao de capex de hyperscalers atinge memoria primeiro; share de HBM caiu de 21% para 18% (Counterpoint 1T-&gt;2T26) com Samsung de volta no HBM4.</t>
  </si>
  <si>
    <t xml:space="preserve">- Contratos e politica: take-or-pay com 12,9 bi de depositos nunca testado num vale (renegociacao/litigio); CAC China, tarifas Sec. 232 e controles BIS; CHIPS condiciona recompras e grants a marcos; FY26 nao auditado e com 53 semanas (base inflada ~2% para o FY27).</t>
  </si>
  <si>
    <t xml:space="preserve">Premissas operacionais, financeiras e de valuation</t>
  </si>
  <si>
    <t xml:space="preserve">listas FY27E-FY31E por cenario (premissas_final.json, 07/out/26); seletor em D4; o modelo so le a linha 'Selecionado'</t>
  </si>
  <si>
    <t xml:space="preserve">Cenario ativo (1=Base, 2=Bull, 3=Bear)</t>
  </si>
  <si>
    <t xml:space="preserve">seletor</t>
  </si>
  <si>
    <t xml:space="preserve">FY22A</t>
  </si>
  <si>
    <t xml:space="preserve">FY23A</t>
  </si>
  <si>
    <t xml:space="preserve">FY30E</t>
  </si>
  <si>
    <t xml:space="preserve">FY31E</t>
  </si>
  <si>
    <t xml:space="preserve">DRAM - bit growth (a/a)</t>
  </si>
  <si>
    <t xml:space="preserve">%</t>
  </si>
  <si>
    <t xml:space="preserve">   Base</t>
  </si>
  <si>
    <t xml:space="preserve">   Bull</t>
  </si>
  <si>
    <t xml:space="preserve">   Bear</t>
  </si>
  <si>
    <t xml:space="preserve">   Selecionado</t>
  </si>
  <si>
    <t xml:space="preserve">DRAM - ASP (a/a)</t>
  </si>
  <si>
    <t xml:space="preserve">DRAM - custo/bit (a/a)</t>
  </si>
  <si>
    <t xml:space="preserve">NAND - bit growth (a/a)</t>
  </si>
  <si>
    <t xml:space="preserve">NAND - ASP (a/a)</t>
  </si>
  <si>
    <t xml:space="preserve">NAND - custo/bit (a/a)</t>
  </si>
  <si>
    <t xml:space="preserve">Outras receitas - cresc. (a/a)</t>
  </si>
  <si>
    <t xml:space="preserve">R&amp;D - cresc. (a/a)</t>
  </si>
  <si>
    <t xml:space="preserve">SG&amp;A - cresc. (a/a)</t>
  </si>
  <si>
    <t xml:space="preserve">SBC (% receita)</t>
  </si>
  <si>
    <t xml:space="preserve">Capex liquido (US$ mn)</t>
  </si>
  <si>
    <t xml:space="preserve">US$ mn</t>
  </si>
  <si>
    <t xml:space="preserve">D&amp;A (% PP&amp;E liq. inicial)</t>
  </si>
  <si>
    <t xml:space="preserve">Aliquota de IR</t>
  </si>
  <si>
    <t xml:space="preserve">DSO (dias)</t>
  </si>
  <si>
    <t xml:space="preserve">dias</t>
  </si>
  <si>
    <t xml:space="preserve">DIO (dias)</t>
  </si>
  <si>
    <t xml:space="preserve">DPO (dias)</t>
  </si>
  <si>
    <t xml:space="preserve">Recompras (US$ mn)</t>
  </si>
  <si>
    <t xml:space="preserve">DPS - cresc. (a/a)</t>
  </si>
  <si>
    <t xml:space="preserve">Yield do caixa e aplicacoes</t>
  </si>
  <si>
    <t xml:space="preserve">Custo medio da divida (juros/saldo medio)</t>
  </si>
  <si>
    <t xml:space="preserve">Preco medio de recompra (US$/acao)</t>
  </si>
  <si>
    <t xml:space="preserve">US$</t>
  </si>
  <si>
    <t xml:space="preserve">Diluicao de SBC (mn acoes/ano)</t>
  </si>
  <si>
    <t xml:space="preserve">mn</t>
  </si>
  <si>
    <t xml:space="preserve">Ano normalizado (mid-cycle, base do valor terminal) - valor na coluna I</t>
  </si>
  <si>
    <t xml:space="preserve">MB normalizada (mid-cycle)</t>
  </si>
  <si>
    <t xml:space="preserve">Receita normalizada vs FY31E (x)</t>
  </si>
  <si>
    <t xml:space="preserve">Desp. op. (% receita)</t>
  </si>
  <si>
    <t xml:space="preserve">Capex (% receita)</t>
  </si>
  <si>
    <t xml:space="preserve">D&amp;A (% receita)</t>
  </si>
  <si>
    <t xml:space="preserve">Aliquota</t>
  </si>
  <si>
    <t xml:space="preserve">NWC (% da variacao de receita)</t>
  </si>
  <si>
    <t xml:space="preserve">WACC e valor terminal - valor na coluna I</t>
  </si>
  <si>
    <t xml:space="preserve">Taxa livre de risco (UST 10a)</t>
  </si>
  <si>
    <t xml:space="preserve">Beta (alavancado)</t>
  </si>
  <si>
    <t xml:space="preserve">Premio de risco de mercado (ERP)</t>
  </si>
  <si>
    <t xml:space="preserve">Custo do equity (Ke) = Rf + beta x ERP</t>
  </si>
  <si>
    <t xml:space="preserve">Custo da divida pre-IR (Kd)</t>
  </si>
  <si>
    <t xml:space="preserve">Aliquota (WACC)</t>
  </si>
  <si>
    <t xml:space="preserve">Kd apos IR</t>
  </si>
  <si>
    <t xml:space="preserve">Peso da divida (D/(D+E))</t>
  </si>
  <si>
    <t xml:space="preserve">Peso do equity (E/(D+E))</t>
  </si>
  <si>
    <t xml:space="preserve">WACC</t>
  </si>
  <si>
    <t xml:space="preserve">Crescimento terminal (g)</t>
  </si>
  <si>
    <t xml:space="preserve">Convencao de meio de ano (1=sim, 0=nao)</t>
  </si>
  <si>
    <t xml:space="preserve">Margem bruta FY26A por produto (estimativa - Micron nao divulga COGS por tecnologia)</t>
  </si>
  <si>
    <t xml:space="preserve">MB DRAM FY26A (estimativa)</t>
  </si>
  <si>
    <t xml:space="preserve">MB Outros FY26A (estimativa)</t>
  </si>
  <si>
    <t xml:space="preserve">Mercado (snapshot 06/out/26 - market.json)</t>
  </si>
  <si>
    <t xml:space="preserve">Preco MU (US$)</t>
  </si>
  <si>
    <t xml:space="preserve">06/10/26</t>
  </si>
  <si>
    <t xml:space="preserve">Acoes em circulacao (mn)</t>
  </si>
  <si>
    <t xml:space="preserve">Acoes diluidas 4T26 (mn)</t>
  </si>
  <si>
    <t xml:space="preserve">Consenso receita FY27E (US$ mn)</t>
  </si>
  <si>
    <t xml:space="preserve">Consenso EPS non-GAAP FY27E (US$)</t>
  </si>
  <si>
    <t xml:space="preserve">Consenso receita FY28E (US$ mn)</t>
  </si>
  <si>
    <t xml:space="preserve">Consenso EPS non-GAAP FY28E (US$)</t>
  </si>
  <si>
    <t xml:space="preserve">Preco-alvo medio sell-side (US$)</t>
  </si>
  <si>
    <t xml:space="preserve">Operacional - receita, bits, ASP e margem bruta por produto</t>
  </si>
  <si>
    <t xml:space="preserve">FY26A: split DRAM/NAND de fonte secundaria do deck 4T26 (thelec), 'outros' derivado; indices FY26A = 100</t>
  </si>
  <si>
    <t xml:space="preserve">Receita por produto</t>
  </si>
  <si>
    <t xml:space="preserve">Receita DRAM</t>
  </si>
  <si>
    <t xml:space="preserve">8-K/10-K</t>
  </si>
  <si>
    <t xml:space="preserve">Receita NAND</t>
  </si>
  <si>
    <t xml:space="preserve">Receita Outros (NOR, 3D XPoint ate FY22)</t>
  </si>
  <si>
    <t xml:space="preserve">derivado</t>
  </si>
  <si>
    <t xml:space="preserve">Rec. liq. total</t>
  </si>
  <si>
    <t xml:space="preserve">Rec. liq. reportada (memo)</t>
  </si>
  <si>
    <t xml:space="preserve">Check: soma segmentos - reportada/DRE</t>
  </si>
  <si>
    <t xml:space="preserve">   cresc. DRAM a/a</t>
  </si>
  <si>
    <t xml:space="preserve">   cresc. NAND a/a</t>
  </si>
  <si>
    <t xml:space="preserve">   cresc. total a/a</t>
  </si>
  <si>
    <t xml:space="preserve">Mix DRAM (% receita)</t>
  </si>
  <si>
    <t xml:space="preserve">Mix NAND (% receita)</t>
  </si>
  <si>
    <t xml:space="preserve">Indices (FY26A = 100)</t>
  </si>
  <si>
    <t xml:space="preserve">DRAM - indice de bits</t>
  </si>
  <si>
    <t xml:space="preserve">FY26A=100</t>
  </si>
  <si>
    <t xml:space="preserve">DRAM - indice de ASP</t>
  </si>
  <si>
    <t xml:space="preserve">DRAM - indice de custo/bit</t>
  </si>
  <si>
    <t xml:space="preserve">NAND - indice de bits</t>
  </si>
  <si>
    <t xml:space="preserve">NAND - indice de ASP</t>
  </si>
  <si>
    <t xml:space="preserve">NAND - indice de custo/bit</t>
  </si>
  <si>
    <t xml:space="preserve">Margem bruta por produto: MB_t = 1 - (1-MB_t-1) x (1+custo/bit)/(1+ASP)</t>
  </si>
  <si>
    <t xml:space="preserve">MB DRAM</t>
  </si>
  <si>
    <t xml:space="preserve">estimativa</t>
  </si>
  <si>
    <t xml:space="preserve">MB NAND</t>
  </si>
  <si>
    <t xml:space="preserve">backed out</t>
  </si>
  <si>
    <t xml:space="preserve">MB Outros</t>
  </si>
  <si>
    <t xml:space="preserve">LB DRAM</t>
  </si>
  <si>
    <t xml:space="preserve">LB NAND</t>
  </si>
  <si>
    <t xml:space="preserve">LB Outros</t>
  </si>
  <si>
    <t xml:space="preserve">LB consolidado</t>
  </si>
  <si>
    <t xml:space="preserve">LB reportado (memo)</t>
  </si>
  <si>
    <t xml:space="preserve">MB consolidada</t>
  </si>
  <si>
    <t xml:space="preserve">Receita por unidade de negocio (reorganizacao no 4T25: CMBU/CDBU/MCBU/AEBU; antes CNBU/MBU/EBU/SBU)</t>
  </si>
  <si>
    <t xml:space="preserve">CMBU - Cloud Memory</t>
  </si>
  <si>
    <t xml:space="preserve">est.</t>
  </si>
  <si>
    <t xml:space="preserve">n.d.</t>
  </si>
  <si>
    <t xml:space="preserve">CDBU - Core Data Center</t>
  </si>
  <si>
    <t xml:space="preserve">MCBU - Mobile &amp; Client</t>
  </si>
  <si>
    <t xml:space="preserve">AEBU - Automotive &amp; Embedded</t>
  </si>
  <si>
    <t xml:space="preserve">Total BUs</t>
  </si>
  <si>
    <t xml:space="preserve">   mix CMBU</t>
  </si>
  <si>
    <t xml:space="preserve">   mix CDBU</t>
  </si>
  <si>
    <t xml:space="preserve">   mix MCBU</t>
  </si>
  <si>
    <t xml:space="preserve">   mix AEBU</t>
  </si>
  <si>
    <t xml:space="preserve">HBM</t>
  </si>
  <si>
    <t xml:space="preserve">HBM - receita divulgada (texto, prepared remarks)</t>
  </si>
  <si>
    <t xml:space="preserve">remarks</t>
  </si>
  <si>
    <t xml:space="preserve">3T24: &gt;US$100 mn de HBM3E; sold out CY24/25</t>
  </si>
  <si>
    <t xml:space="preserve">2T25 &gt;1,0 bi; 3T25 run-rate &gt;6 bi anualizado; 4T25 ~2,0 bi</t>
  </si>
  <si>
    <t xml:space="preserve">sem US$ divulgado; 4T26 cresceu mais que a receita total; CY27 contratado com alta de preco</t>
  </si>
  <si>
    <t xml:space="preserve">Check segmentos (todas as colunas)</t>
  </si>
  <si>
    <t xml:space="preserve">DRE - demonstracao de resultados (GAAP) e ponte non-GAAP</t>
  </si>
  <si>
    <t xml:space="preserve">historico 8-K/10-K (FY26A nao auditado, 53 semanas); custos com sinal negativo</t>
  </si>
  <si>
    <t xml:space="preserve">COGS</t>
  </si>
  <si>
    <t xml:space="preserve">Lucro bruto (LB)</t>
  </si>
  <si>
    <t xml:space="preserve">   MB</t>
  </si>
  <si>
    <t xml:space="preserve">R&amp;D</t>
  </si>
  <si>
    <t xml:space="preserve">SG&amp;A</t>
  </si>
  <si>
    <t xml:space="preserve">Outros op. / reestruturacao</t>
  </si>
  <si>
    <t xml:space="preserve">   mg EBIT</t>
  </si>
  <si>
    <t xml:space="preserve">D&amp;A</t>
  </si>
  <si>
    <t xml:space="preserve">DFC</t>
  </si>
  <si>
    <t xml:space="preserve">Receita de juros (caixa e aplicacoes)</t>
  </si>
  <si>
    <t xml:space="preserve">Despesa de juros</t>
  </si>
  <si>
    <t xml:space="preserve">Resultado financeiro</t>
  </si>
  <si>
    <t xml:space="preserve">Outros nao-operacionais</t>
  </si>
  <si>
    <t xml:space="preserve">LAIR</t>
  </si>
  <si>
    <t xml:space="preserve">IR</t>
  </si>
  <si>
    <t xml:space="preserve">   aliquota efetiva</t>
  </si>
  <si>
    <t xml:space="preserve">Equivalencia patrimonial</t>
  </si>
  <si>
    <t xml:space="preserve">Lucro liquido (LL)</t>
  </si>
  <si>
    <t xml:space="preserve">   mg liquida</t>
  </si>
  <si>
    <t xml:space="preserve">   cresc. LL a/a</t>
  </si>
  <si>
    <t xml:space="preserve">Acoes diluidas (mn, media)</t>
  </si>
  <si>
    <t xml:space="preserve">EPS GAAP diluido (US$)</t>
  </si>
  <si>
    <t xml:space="preserve">reportado</t>
  </si>
  <si>
    <t xml:space="preserve">   cresc. EPS a/a</t>
  </si>
  <si>
    <t xml:space="preserve">Ponte non-GAAP</t>
  </si>
  <si>
    <t xml:space="preserve">(+) SBC</t>
  </si>
  <si>
    <t xml:space="preserve">(+) Reestruturacao / outros ajustes</t>
  </si>
  <si>
    <t xml:space="preserve">hist: resid.</t>
  </si>
  <si>
    <t xml:space="preserve">(-) Efeito fiscal dos ajustes</t>
  </si>
  <si>
    <t xml:space="preserve">LL non-GAAP</t>
  </si>
  <si>
    <t xml:space="preserve">   cresc. EPS non-GAAP a/a</t>
  </si>
  <si>
    <t xml:space="preserve">DPS (US$)</t>
  </si>
  <si>
    <t xml:space="preserve">Payout (DPS / EPS GAAP)</t>
  </si>
  <si>
    <t xml:space="preserve">BP - balanco patrimonial</t>
  </si>
  <si>
    <t xml:space="preserve">historico 8-K/10-K (FY26A condensado do press release); caixa projetado = caixa anterior + variacao de caixa do FC</t>
  </si>
  <si>
    <t xml:space="preserve">Caixa e aplicacoes (CP + LP)</t>
  </si>
  <si>
    <t xml:space="preserve">proj: FC</t>
  </si>
  <si>
    <t xml:space="preserve">   memo: caixa e equivalentes</t>
  </si>
  <si>
    <t xml:space="preserve">   memo: aplicacoes de curto prazo</t>
  </si>
  <si>
    <t xml:space="preserve">   memo: aplicacoes de longo prazo (marketable)</t>
  </si>
  <si>
    <t xml:space="preserve">Contas a receber</t>
  </si>
  <si>
    <t xml:space="preserve">Estoques</t>
  </si>
  <si>
    <t xml:space="preserve">Outros ativos circulantes</t>
  </si>
  <si>
    <t xml:space="preserve">Ativo circulante (ex-aplicacoes LP)</t>
  </si>
  <si>
    <t xml:space="preserve">Imobilizado liquido</t>
  </si>
  <si>
    <t xml:space="preserve">Goodwill e intangiveis</t>
  </si>
  <si>
    <t xml:space="preserve">Outros ativos nao-circulantes</t>
  </si>
  <si>
    <t xml:space="preserve">Ativo total</t>
  </si>
  <si>
    <t xml:space="preserve">Fornecedores e provisoes</t>
  </si>
  <si>
    <t xml:space="preserve">Divida de curto prazo</t>
  </si>
  <si>
    <t xml:space="preserve">Outros passivos circulantes</t>
  </si>
  <si>
    <t xml:space="preserve">Passivo circulante</t>
  </si>
  <si>
    <t xml:space="preserve">Divida de longo prazo</t>
  </si>
  <si>
    <t xml:space="preserve">Passivos contratuais de clientes (depositos SCA)</t>
  </si>
  <si>
    <t xml:space="preserve">SCAs</t>
  </si>
  <si>
    <t xml:space="preserve">Outros passivos nao-circulantes</t>
  </si>
  <si>
    <t xml:space="preserve">Passivo total</t>
  </si>
  <si>
    <t xml:space="preserve">Patrimonio liquido</t>
  </si>
  <si>
    <t xml:space="preserve">Passivo + PL</t>
  </si>
  <si>
    <t xml:space="preserve">Check: ativo - passivo - PL</t>
  </si>
  <si>
    <t xml:space="preserve">Check BP</t>
  </si>
  <si>
    <t xml:space="preserve">Check BP (todos os anos)</t>
  </si>
  <si>
    <t xml:space="preserve">memo: net cash (caixa e aplicacoes - divida)</t>
  </si>
  <si>
    <t xml:space="preserve">FC - fluxo de caixa (metodo indireto)</t>
  </si>
  <si>
    <t xml:space="preserve">historico 8-K/10-K; capex liquido na definicao da Micron (liquido de incentivos); FCF = FCO - capex liquido</t>
  </si>
  <si>
    <t xml:space="preserve">Lucro liquido</t>
  </si>
  <si>
    <t xml:space="preserve">(+) D&amp;A</t>
  </si>
  <si>
    <t xml:space="preserve">(+) Outros nao-caixa (hist.)</t>
  </si>
  <si>
    <t xml:space="preserve">n.d.=0</t>
  </si>
  <si>
    <t xml:space="preserve">(-) Var. contas a receber</t>
  </si>
  <si>
    <t xml:space="preserve">(-) Var. estoques</t>
  </si>
  <si>
    <t xml:space="preserve">(-) Var. outros ativos</t>
  </si>
  <si>
    <t xml:space="preserve">(+) Var. fornecedores e provisoes</t>
  </si>
  <si>
    <t xml:space="preserve">(+) Var. outros passivos / demais (hist. inclui outros)</t>
  </si>
  <si>
    <t xml:space="preserve">FCO</t>
  </si>
  <si>
    <t xml:space="preserve">   memo: FCO reportado</t>
  </si>
  <si>
    <t xml:space="preserve">(-) Capex liquido</t>
  </si>
  <si>
    <t xml:space="preserve">liq. incent.</t>
  </si>
  <si>
    <t xml:space="preserve">(-) Aplicacoes financeiras liquidas (hist.)</t>
  </si>
  <si>
    <t xml:space="preserve">Outros investimentos (hist.: residual)</t>
  </si>
  <si>
    <t xml:space="preserve">FCI</t>
  </si>
  <si>
    <t xml:space="preserve">   memo: FCI reportado</t>
  </si>
  <si>
    <t xml:space="preserve">FCF (FCO - capex liquido)</t>
  </si>
  <si>
    <t xml:space="preserve">   memo: FCF ajustado reportado pela empresa</t>
  </si>
  <si>
    <t xml:space="preserve">   FCF / receita</t>
  </si>
  <si>
    <t xml:space="preserve">(-) Dividendos</t>
  </si>
  <si>
    <t xml:space="preserve">(-) Recompras</t>
  </si>
  <si>
    <t xml:space="preserve">(+/-) Captacao / amortizacao de divida</t>
  </si>
  <si>
    <t xml:space="preserve">(+) Depositos de clientes (SCAs)</t>
  </si>
  <si>
    <t xml:space="preserve">Outros (hist.: residual, inclui withholding de RSUs)</t>
  </si>
  <si>
    <t xml:space="preserve">FCF ao acionista / financiamento (FCF - div - recompras +/- divida + outros)</t>
  </si>
  <si>
    <t xml:space="preserve">   memo: fluxo de financiamento reportado</t>
  </si>
  <si>
    <t xml:space="preserve">Efeito cambial</t>
  </si>
  <si>
    <t xml:space="preserve">Variacao de caixa</t>
  </si>
  <si>
    <t xml:space="preserve">   memo: var. caixa e restrito reportada</t>
  </si>
  <si>
    <t xml:space="preserve">cx+restr.</t>
  </si>
  <si>
    <t xml:space="preserve">Caixa e aplicacoes inicial (BP)</t>
  </si>
  <si>
    <t xml:space="preserve">Caixa e aplicacoes final -&gt; BP</t>
  </si>
  <si>
    <t xml:space="preserve">Check: caixa BP - caixa FC (hist.: var. calc. - reportada)</t>
  </si>
  <si>
    <t xml:space="preserve">Check caixa</t>
  </si>
  <si>
    <t xml:space="preserve">Check caixa (todos os anos)</t>
  </si>
  <si>
    <t xml:space="preserve">FCF yield (FCF / mkt cap atual)</t>
  </si>
  <si>
    <t xml:space="preserve">FCF por acao (US$)</t>
  </si>
  <si>
    <t xml:space="preserve">Suporte - imobilizado, capital de giro, divida e acoes</t>
  </si>
  <si>
    <t xml:space="preserve">projecoes leem a linha 'Selecionado' da aba Premissas; receita de juros sobre o caixa inicial (evita circularidade)</t>
  </si>
  <si>
    <t xml:space="preserve">Ano fiscal (num.)</t>
  </si>
  <si>
    <t xml:space="preserve">(a) Imobilizado</t>
  </si>
  <si>
    <t xml:space="preserve">PP&amp;E liq. inicial</t>
  </si>
  <si>
    <t xml:space="preserve">FY22 n.d.</t>
  </si>
  <si>
    <t xml:space="preserve">(+) Capex liquido</t>
  </si>
  <si>
    <t xml:space="preserve">(-) D&amp;A</t>
  </si>
  <si>
    <t xml:space="preserve">PP&amp;E liq. final</t>
  </si>
  <si>
    <t xml:space="preserve">D&amp;A / PP&amp;E liq. inicial</t>
  </si>
  <si>
    <t xml:space="preserve">Capex / receita</t>
  </si>
  <si>
    <t xml:space="preserve">Capex / D&amp;A (x)</t>
  </si>
  <si>
    <t xml:space="preserve">(b) Capital de giro</t>
  </si>
  <si>
    <t xml:space="preserve">DSO (dias) = CR / receita x 365</t>
  </si>
  <si>
    <t xml:space="preserve">hist: calc.</t>
  </si>
  <si>
    <t xml:space="preserve">DIO (dias) = estoques / COGS x 365</t>
  </si>
  <si>
    <t xml:space="preserve">DPO (dias) = fornecedores e provisoes / COGS x 365</t>
  </si>
  <si>
    <t xml:space="preserve">NWC operacional (CR + estoques - fornecedores)</t>
  </si>
  <si>
    <t xml:space="preserve">Variacao de NWC (aumento = uso de caixa)</t>
  </si>
  <si>
    <t xml:space="preserve">(c) Divida e resultado financeiro</t>
  </si>
  <si>
    <t xml:space="preserve">Divida total inicial</t>
  </si>
  <si>
    <t xml:space="preserve">(-) Amortizacao programada (vencimentos)</t>
  </si>
  <si>
    <t xml:space="preserve">tabela (e)</t>
  </si>
  <si>
    <t xml:space="preserve">Divida total final</t>
  </si>
  <si>
    <t xml:space="preserve">   da qual curto prazo (vence no ano seguinte)</t>
  </si>
  <si>
    <t xml:space="preserve">   da qual longo prazo</t>
  </si>
  <si>
    <t xml:space="preserve">Custo medio da divida</t>
  </si>
  <si>
    <t xml:space="preserve">Despesa de juros = saldo medio x custo medio</t>
  </si>
  <si>
    <t xml:space="preserve">Caixa e aplicacoes inicial (BP ano anterior)</t>
  </si>
  <si>
    <t xml:space="preserve">Yield do caixa</t>
  </si>
  <si>
    <t xml:space="preserve">Receita de juros = caixa inicial x yield</t>
  </si>
  <si>
    <t xml:space="preserve">cx inicial</t>
  </si>
  <si>
    <t xml:space="preserve">(d) Acoes e dividendos</t>
  </si>
  <si>
    <t xml:space="preserve">Acoes diluidas - inicio (mn)</t>
  </si>
  <si>
    <t xml:space="preserve">Preco medio de recompra (US$)</t>
  </si>
  <si>
    <t xml:space="preserve">(-) Acoes recompradas (mn)</t>
  </si>
  <si>
    <t xml:space="preserve">(+) Diluicao de SBC (mn)</t>
  </si>
  <si>
    <t xml:space="preserve">Acoes diluidas - fim (mn)</t>
  </si>
  <si>
    <t xml:space="preserve">guia 1T27</t>
  </si>
  <si>
    <t xml:space="preserve">Acoes diluidas - media (mn) -&gt; DRE</t>
  </si>
  <si>
    <t xml:space="preserve">Dividendos pagos (US$ mn) = DPS x acoes medias</t>
  </si>
  <si>
    <t xml:space="preserve">(e) Divida por instrumento - 10-Q 28/mai/26 (ultimo detalhe disponivel; 10-K FY26 pendente)</t>
  </si>
  <si>
    <t xml:space="preserve">Instrumento</t>
  </si>
  <si>
    <t xml:space="preserve">Cupom</t>
  </si>
  <si>
    <t xml:space="preserve">Venc. (FY)</t>
  </si>
  <si>
    <t xml:space="preserve">Saldo 28/mai/26</t>
  </si>
  <si>
    <t xml:space="preserve">Est.?</t>
  </si>
  <si>
    <t xml:space="preserve">Nota</t>
  </si>
  <si>
    <t xml:space="preserve">2031 Notes (5.300% Senior Notes due 2031)</t>
  </si>
  <si>
    <t xml:space="preserve">Original principal inferred from tender offer ($5.4bn across 6 series); remaining principal approximated by ca</t>
  </si>
  <si>
    <t xml:space="preserve">2032 Green Bonds (2.703% due 2032)</t>
  </si>
  <si>
    <t xml:space="preserve">Issued Nov-2021 (FY22) - not tendered</t>
  </si>
  <si>
    <t xml:space="preserve">2032 Notes (5.650% Senior Notes due 2032)</t>
  </si>
  <si>
    <t xml:space="preserve">Issued FY25; mostly tendered Apr-2026</t>
  </si>
  <si>
    <t xml:space="preserve">2033 A Notes (5.875% due 2033)</t>
  </si>
  <si>
    <t xml:space="preserve">Original principal inferred (tender total 5.4bn); carrying 746 at Aug-25 suggests prior partial repurchases</t>
  </si>
  <si>
    <t xml:space="preserve">2033 B Notes (5.875% due 2033)</t>
  </si>
  <si>
    <t xml:space="preserve">$750mn outstanding pre-tender per expiration release; ~574mn tendered (carrying 892 at Aug-25 per 10-Q table -</t>
  </si>
  <si>
    <t xml:space="preserve">2035 A Notes (5.800% due 2035)</t>
  </si>
  <si>
    <t xml:space="preserve">Issued Jan-2025 (proceeds ~992); ~863mn tendered</t>
  </si>
  <si>
    <t xml:space="preserve">2035 B Notes (6.050% due 2035)</t>
  </si>
  <si>
    <t xml:space="preserve">~1.03bn tendered</t>
  </si>
  <si>
    <t xml:space="preserve">2041 Notes (3.366% due 2041)</t>
  </si>
  <si>
    <t xml:space="preserve">Issued Nov-2021; not tendered</t>
  </si>
  <si>
    <t xml:space="preserve">2051 Notes (3.477% due 2051)</t>
  </si>
  <si>
    <t xml:space="preserve">$10mn principal repurchased Jan-2026 for $7mn cash</t>
  </si>
  <si>
    <t xml:space="preserve">Finance lease obligations</t>
  </si>
  <si>
    <t xml:space="preserve">varios</t>
  </si>
  <si>
    <t xml:space="preserve">Effective rate 4.72%; 582 current / 2,088 long-term at 2026-05-28; amortizing through FY26 Q4</t>
  </si>
  <si>
    <t xml:space="preserve">Parcela corrente em 03/set/26 (leases e outros; vence no FY27)</t>
  </si>
  <si>
    <t xml:space="preserve">Divida de curto prazo do balanco de 03/set/26 (press release 4T26)</t>
  </si>
  <si>
    <t xml:space="preserve">Soma da tabela (mai/26 + parcela corrente)</t>
  </si>
  <si>
    <t xml:space="preserve">Divida total em 03/set/26 (BP)</t>
  </si>
  <si>
    <t xml:space="preserve">Diferenca (recompras do 4T26 ~0,5 bi, amortizacao de leases; detalhe so no 10-K)</t>
  </si>
  <si>
    <t xml:space="preserve">Cupom medio ponderado (notas + leases, mai/26)</t>
  </si>
  <si>
    <t xml:space="preserve">Rating: Moody's Baa1 estavel (~ago/26; Baa2 em jan/26) | S&amp;P BBB positivo (mai/26) | Fitch BBB (dez/25)</t>
  </si>
  <si>
    <t xml:space="preserve">DCF - FCFF FY27E-FY31E + ano normalizado (mid-cycle)</t>
  </si>
  <si>
    <t xml:space="preserve">valuation em 07/out/26; preco-alvo 12m = valor justo x (1+Ke) - DPS 12m; WACC e g da aba Premissas</t>
  </si>
  <si>
    <t xml:space="preserve">Normalizado</t>
  </si>
  <si>
    <t xml:space="preserve">n (ano de projecao)</t>
  </si>
  <si>
    <t xml:space="preserve">Lucro bruto</t>
  </si>
  <si>
    <t xml:space="preserve">Desp. op. (R&amp;D + SG&amp;A + outros)</t>
  </si>
  <si>
    <t xml:space="preserve">NOPAT = EBIT x (1 - t)</t>
  </si>
  <si>
    <t xml:space="preserve">(-) Variacao de NWC</t>
  </si>
  <si>
    <t xml:space="preserve">FCFF</t>
  </si>
  <si>
    <t xml:space="preserve">   FCFF / receita</t>
  </si>
  <si>
    <t xml:space="preserve">Periodo de desconto (t)</t>
  </si>
  <si>
    <t xml:space="preserve">Fator de desconto</t>
  </si>
  <si>
    <t xml:space="preserve">VP do FCFF</t>
  </si>
  <si>
    <t xml:space="preserve">Valuation</t>
  </si>
  <si>
    <t xml:space="preserve">Soma VP FCFF FY27E-FY31E</t>
  </si>
  <si>
    <t xml:space="preserve">Valor terminal (TV) = FCFF norm. x (1+g) / (WACC - g)</t>
  </si>
  <si>
    <t xml:space="preserve">VP do TV</t>
  </si>
  <si>
    <t xml:space="preserve">EV</t>
  </si>
  <si>
    <t xml:space="preserve">   TV % EV</t>
  </si>
  <si>
    <t xml:space="preserve">(+) Caixa e aplicacoes FY26A</t>
  </si>
  <si>
    <t xml:space="preserve">(-) Divida FY26A</t>
  </si>
  <si>
    <t xml:space="preserve">Equity value</t>
  </si>
  <si>
    <t xml:space="preserve">Acoes diluidas (mn)</t>
  </si>
  <si>
    <t xml:space="preserve">Valor justo por acao hoje (US$)</t>
  </si>
  <si>
    <t xml:space="preserve">Ke (12m)</t>
  </si>
  <si>
    <t xml:space="preserve">DPS 12m (FY27E)</t>
  </si>
  <si>
    <t xml:space="preserve">Preco atual (US$)</t>
  </si>
  <si>
    <t xml:space="preserve">Multiplos implicitos no preco-alvo</t>
  </si>
  <si>
    <t xml:space="preserve">EV implicito (PT x acoes - caixa + divida)</t>
  </si>
  <si>
    <t xml:space="preserve">EV/EBITDA FY27E</t>
  </si>
  <si>
    <t xml:space="preserve">EV/EBITDA FY28E</t>
  </si>
  <si>
    <t xml:space="preserve">P/E FY27E (non-GAAP)</t>
  </si>
  <si>
    <t xml:space="preserve">P/E FY28E (non-GAAP)</t>
  </si>
  <si>
    <t xml:space="preserve">WACC (link Premissas)</t>
  </si>
  <si>
    <t xml:space="preserve">Rf</t>
  </si>
  <si>
    <t xml:space="preserve">Beta</t>
  </si>
  <si>
    <t xml:space="preserve">ERP</t>
  </si>
  <si>
    <t xml:space="preserve">Ke</t>
  </si>
  <si>
    <t xml:space="preserve">Kd pre-IR</t>
  </si>
  <si>
    <t xml:space="preserve">Peso equity</t>
  </si>
  <si>
    <t xml:space="preserve">Peso divida</t>
  </si>
  <si>
    <t xml:space="preserve">g terminal</t>
  </si>
  <si>
    <t xml:space="preserve">Meio de ano (1/0)</t>
  </si>
  <si>
    <t xml:space="preserve">Sensibilidade 1: preco-alvo (US$) - WACC (linhas) x g terminal (colunas)</t>
  </si>
  <si>
    <t xml:space="preserve">passo WACC</t>
  </si>
  <si>
    <t xml:space="preserve">passo g</t>
  </si>
  <si>
    <t xml:space="preserve">passo MB</t>
  </si>
  <si>
    <t xml:space="preserve">WACC \ g</t>
  </si>
  <si>
    <t xml:space="preserve">Conferencia: centro - preco-alvo do DCF</t>
  </si>
  <si>
    <t xml:space="preserve">Sensibilidade 2: preco-alvo (US$) - WACC (linhas) x MB normalizada (colunas)</t>
  </si>
  <si>
    <t xml:space="preserve">WACC \ MB</t>
  </si>
  <si>
    <t xml:space="preserve">sanity: Ke fixo do cabecalho no roll-forward de 12m; so WACC/g/MB variam nas tabelas</t>
  </si>
  <si>
    <t xml:space="preserve">Multiplos - MU ao preco atual e peers</t>
  </si>
  <si>
    <t xml:space="preserve">MU: formulas sobre o modelo; peers: snapshot 06/out/26 (market.json), valores em azul com data/fonte no comentario; n.d. = nao encontrado</t>
  </si>
  <si>
    <t xml:space="preserve">Preco MU (US$, 06/out/26)</t>
  </si>
  <si>
    <t xml:space="preserve">Mkt cap (US$ mn)</t>
  </si>
  <si>
    <t xml:space="preserve">(-) Caixa e aplicacoes FY26A</t>
  </si>
  <si>
    <t xml:space="preserve">(+) Divida FY26A</t>
  </si>
  <si>
    <t xml:space="preserve">EV (US$ mn)</t>
  </si>
  <si>
    <t xml:space="preserve">ex-SCA dep.</t>
  </si>
  <si>
    <t xml:space="preserve">   net cash</t>
  </si>
  <si>
    <t xml:space="preserve">MU - multiplos ao preco atual</t>
  </si>
  <si>
    <t xml:space="preserve">EV / Receita</t>
  </si>
  <si>
    <t xml:space="preserve">EV / EBITDA</t>
  </si>
  <si>
    <t xml:space="preserve">P/E GAAP</t>
  </si>
  <si>
    <t xml:space="preserve">P/E non-GAAP</t>
  </si>
  <si>
    <t xml:space="preserve">P/B</t>
  </si>
  <si>
    <t xml:space="preserve">Peers (preco e mkt cap de 06/out/26; multiplos conforme data na nota)</t>
  </si>
  <si>
    <t xml:space="preserve">Empresa</t>
  </si>
  <si>
    <t xml:space="preserve">Ticker</t>
  </si>
  <si>
    <t xml:space="preserve">Preco (moeda local)</t>
  </si>
  <si>
    <t xml:space="preserve">P/E fwd</t>
  </si>
  <si>
    <t xml:space="preserve">P/E TTM</t>
  </si>
  <si>
    <t xml:space="preserve">EV/EBITDA fwd</t>
  </si>
  <si>
    <t xml:space="preserve">EV/EBITDA TTM</t>
  </si>
  <si>
    <t xml:space="preserve">Samsung Electronics</t>
  </si>
  <si>
    <t xml:space="preserve">005930 KS</t>
  </si>
  <si>
    <t xml:space="preserve">SK hynix</t>
  </si>
  <si>
    <t xml:space="preserve">000660 KS</t>
  </si>
  <si>
    <t xml:space="preserve">SanDisk</t>
  </si>
  <si>
    <t xml:space="preserve">SNDK</t>
  </si>
  <si>
    <t xml:space="preserve">Kioxia</t>
  </si>
  <si>
    <t xml:space="preserve">285A JP</t>
  </si>
  <si>
    <t xml:space="preserve">Western Digital</t>
  </si>
  <si>
    <t xml:space="preserve">WDC</t>
  </si>
  <si>
    <t xml:space="preserve">Nvidia</t>
  </si>
  <si>
    <t xml:space="preserve">NVDA</t>
  </si>
  <si>
    <t xml:space="preserve">Media peers</t>
  </si>
  <si>
    <t xml:space="preserve">Mediana peers</t>
  </si>
  <si>
    <t xml:space="preserve">Micron (modelo, preco atual)</t>
  </si>
  <si>
    <t xml:space="preserve">MU US</t>
  </si>
  <si>
    <t xml:space="preserve">MU vs mediana dos peers (premio / desconto)</t>
  </si>
  <si>
    <t xml:space="preserve">P/E fwd MU = preco / EPS non-GAAP FY27E (FY27 termina set/27); peers em base calendario/fiscal propria - comparacao indicativa</t>
  </si>
  <si>
    <t xml:space="preserve">FX 06/out/26: USDKRW 1337.34 | USDJPY 158.15 (tradingeconomics / investing.com)</t>
  </si>
  <si>
    <t xml:space="preserve">Trimestral - 1T24 a 4T26 e guidance 1T27</t>
  </si>
  <si>
    <t xml:space="preserve">8-K/press releases, 10-Q MD&amp;A e prepared remarks (quarterly.json); 4T26 com 14 semanas; valores estimados/derivados em comentario</t>
  </si>
  <si>
    <t xml:space="preserve">1T24</t>
  </si>
  <si>
    <t xml:space="preserve">2T24</t>
  </si>
  <si>
    <t xml:space="preserve">3T24</t>
  </si>
  <si>
    <t xml:space="preserve">4T24</t>
  </si>
  <si>
    <t xml:space="preserve">1T25</t>
  </si>
  <si>
    <t xml:space="preserve">2T25</t>
  </si>
  <si>
    <t xml:space="preserve">3T25</t>
  </si>
  <si>
    <t xml:space="preserve">4T25</t>
  </si>
  <si>
    <t xml:space="preserve">1T26</t>
  </si>
  <si>
    <t xml:space="preserve">2T26</t>
  </si>
  <si>
    <t xml:space="preserve">3T26</t>
  </si>
  <si>
    <t xml:space="preserve">4T26</t>
  </si>
  <si>
    <t xml:space="preserve">1T27 guid.</t>
  </si>
  <si>
    <t xml:space="preserve">8-K</t>
  </si>
  <si>
    <t xml:space="preserve">   DRAM</t>
  </si>
  <si>
    <t xml:space="preserve">   NAND</t>
  </si>
  <si>
    <t xml:space="preserve">   cresc. t/t</t>
  </si>
  <si>
    <t xml:space="preserve">MB GAAP</t>
  </si>
  <si>
    <t xml:space="preserve">MB non-GAAP</t>
  </si>
  <si>
    <t xml:space="preserve">Desp. op. non-GAAP</t>
  </si>
  <si>
    <t xml:space="preserve">EBIT non-GAAP</t>
  </si>
  <si>
    <t xml:space="preserve">EPS GAAP (US$)</t>
  </si>
  <si>
    <t xml:space="preserve">Capex liq.</t>
  </si>
  <si>
    <t xml:space="preserve">FCF ajustado</t>
  </si>
  <si>
    <t xml:space="preserve">Caixa e aplicacoes</t>
  </si>
  <si>
    <t xml:space="preserve">Divida total</t>
  </si>
  <si>
    <t xml:space="preserve">DIO (dias, empresa)</t>
  </si>
  <si>
    <t xml:space="preserve">Bits e ASP t/t (texto literal do 10-Q / prepared remarks)</t>
  </si>
  <si>
    <t xml:space="preserve">DRAM bits t/t</t>
  </si>
  <si>
    <t xml:space="preserve">10-Q/remarks</t>
  </si>
  <si>
    <t xml:space="preserve">low-20s percent range increase in bit shipments</t>
  </si>
  <si>
    <t xml:space="preserve">bit shipments increased in the low single-digit percentage range</t>
  </si>
  <si>
    <t xml:space="preserve">a mid-single-digit percent range decrease in bit shipments</t>
  </si>
  <si>
    <t xml:space="preserve">a low-double-digit percent range increase in bit shipments</t>
  </si>
  <si>
    <t xml:space="preserve">bit shipments decreasing in the high-single-digit percentage range</t>
  </si>
  <si>
    <t xml:space="preserve">an over 20% increase in bit shipments</t>
  </si>
  <si>
    <t xml:space="preserve">bit shipments increased in the low-teens percentage range</t>
  </si>
  <si>
    <t xml:space="preserve">bit shipments up slightly</t>
  </si>
  <si>
    <t xml:space="preserve">bit shipments increased in the mid-single-digit percentage range</t>
  </si>
  <si>
    <t xml:space="preserve">bit shipments increased in the low-single-digit percentage range</t>
  </si>
  <si>
    <t xml:space="preserve">Bit shipments increased in the mid-single-digit percentage range sequentially</t>
  </si>
  <si>
    <t xml:space="preserve">DRAM ASP t/t</t>
  </si>
  <si>
    <t xml:space="preserve">increases in average selling prices in the low single-digit-percent range</t>
  </si>
  <si>
    <t xml:space="preserve">prices increased in the high-teens percentage range</t>
  </si>
  <si>
    <t xml:space="preserve">increases in average selling prices by approximately 20%</t>
  </si>
  <si>
    <t xml:space="preserve">a high-single-digit percent range increase in average selling prices</t>
  </si>
  <si>
    <t xml:space="preserve">prices increasing in the mid-single-digit percentage range as a result of improving portfolio mix</t>
  </si>
  <si>
    <t xml:space="preserve">a low-single-digit percent range decrease in average selling prices primarily due to a higher consumer-oriented revenue mix</t>
  </si>
  <si>
    <t xml:space="preserve">prices increased in the low-double-digit percentage range (tight supply, pricing actions, improved mix)</t>
  </si>
  <si>
    <t xml:space="preserve">prices up approximately 20% sequentially</t>
  </si>
  <si>
    <t xml:space="preserve">prices increased in the mid-60s percentage range</t>
  </si>
  <si>
    <t xml:space="preserve">prices increased in the low-60s percentage range</t>
  </si>
  <si>
    <t xml:space="preserve">pricing rose in the high-teens percentage range amid tight industry supply</t>
  </si>
  <si>
    <t xml:space="preserve">NAND bits t/t</t>
  </si>
  <si>
    <t xml:space="preserve">decreases in bit shipments in the mid-teens percent range after record NAND bit shipments in the fourth quarter of 2023</t>
  </si>
  <si>
    <t xml:space="preserve">bit shipments decreased in the low single-digit percentage range</t>
  </si>
  <si>
    <t xml:space="preserve">a high-single-digit percent range increase in bit shipments</t>
  </si>
  <si>
    <t xml:space="preserve">a low-single-digit percent range decrease in bit shipments</t>
  </si>
  <si>
    <t xml:space="preserve">modestly higher bit shipments</t>
  </si>
  <si>
    <t xml:space="preserve">a mid-20% range increase in bit shipments</t>
  </si>
  <si>
    <t xml:space="preserve">bit shipments decreased in the mid-single-digit percentage range</t>
  </si>
  <si>
    <t xml:space="preserve">NAND bit shipments increased mid to high single digits sequentially</t>
  </si>
  <si>
    <t xml:space="preserve">NAND bit shipments increased in the low single-digit percentage range</t>
  </si>
  <si>
    <t xml:space="preserve">NAND bit shipments rose about 10%</t>
  </si>
  <si>
    <t xml:space="preserve">NAND ASP t/t</t>
  </si>
  <si>
    <t xml:space="preserve">an approximate 20% increase in average selling prices</t>
  </si>
  <si>
    <t xml:space="preserve">prices increased by more than 30%</t>
  </si>
  <si>
    <t xml:space="preserve">a low-single-digit percent range decrease in average selling prices</t>
  </si>
  <si>
    <t xml:space="preserve">a high-teens percentage decrease in average selling prices</t>
  </si>
  <si>
    <t xml:space="preserve">a high-single-digit percent range decrease in average selling prices</t>
  </si>
  <si>
    <t xml:space="preserve">prices increased in the high-single-digit percentage range driven by improved mix</t>
  </si>
  <si>
    <t xml:space="preserve">prices up mid-teens percentage range versus prior quarter</t>
  </si>
  <si>
    <t xml:space="preserve">prices increased in the high-70s percentage range</t>
  </si>
  <si>
    <t xml:space="preserve">prices increased in the mid-80s percentage range</t>
  </si>
  <si>
    <t xml:space="preserve">prices increased approximately 30% sequentially</t>
  </si>
  <si>
    <t xml:space="preserve">HBM (comentario)</t>
  </si>
  <si>
    <t xml:space="preserve">HBM3E in qualification; no HBM revenue disclosed</t>
  </si>
  <si>
    <t xml:space="preserve">HBM3E volume production started; sold out for CY2024 (per remarks)</t>
  </si>
  <si>
    <t xml:space="preserve">HBM sold out for CY2024 and CY2025; &gt;$100M HBM3E revenue in FQ3 (per remarks)</t>
  </si>
  <si>
    <t xml:space="preserve">Data center SSD revenue &gt;$1B for first time; HBM ramping (HBM3E 8-high); no HBM $ disclosed</t>
  </si>
  <si>
    <t xml:space="preserve">HBM revenue more than doubled sequentially; shipments ahead of plan; data center revenue &gt;50% of total for first time</t>
  </si>
  <si>
    <t xml:space="preserve">HBM revenue grew more than 50% sequentially to a new milestone of over $1 billion of quarterly revenue</t>
  </si>
  <si>
    <t xml:space="preserve">nearly 50% sequential growth in HBM revenue; exited FQ3 at HBM run-rate exceeding $6B annualized; data center revenue more than doubled y/y</t>
  </si>
  <si>
    <t xml:space="preserve">HBM revenue grew to nearly $2 billion in fiscal Q4, implying an annualized run rate of nearly $8 billion, driven by the ramp of HBM3E products; HBM share 'in line with our overall DRAM share' in CQ3'25; six HBM customers</t>
  </si>
  <si>
    <t xml:space="preserve">All CY2026 HBM price/volume agreements finalized; HBM TAM ~$35B (2025) -&gt; ~$100B by 2028 (two years earlier than prior view); HBM4 ramp expected 2H CY2026</t>
  </si>
  <si>
    <t xml:space="preserve">HBM revenue reached a new high (no $ disclosed); volume shipments of HBM4 36GB 12-high began in CQ1 2026 for NVIDIA Vera Rubin; data center NAND revenue more than doubled sequentially</t>
  </si>
  <si>
    <t xml:space="preserve">HBM4 12-high volume ramp tracking 2x as fast as HBM3E 12-high; &gt;$1B cumulative HBM4 revenue shipped; CY2026 HBM supply sold out under multi-year contracts; 16 Strategic Customer Agreements signed (~$18B cash deposits + ~$4B letters of credit expected); data center revenue &gt;$25B in the quarter</t>
  </si>
  <si>
    <t xml:space="preserve">HBM revenue for fiscal Q4 2026 grew faster than total company revenue in the quarter as we ramp HBM shipments across a growing number of customers; agreements completed for the vast majority of CY2027 HBM bit supply with significant price increases y/y, narrowing the GM gap with conventional DRAM; HBM4 ramp on track; custom HBM4E (NV-HBM) with NVIDIA; data center SSD revenue nearly $10B (&gt;10x y/y, &gt;2/3 of NAND)</t>
  </si>
  <si>
    <t xml:space="preserve">CY27 HBM contratado com alta de preco relevante; ~75% dos embarques FY27 comprometidos</t>
  </si>
  <si>
    <t xml:space="preserve">Receita por BU (nova estrutura a partir do 4T25)</t>
  </si>
  <si>
    <t xml:space="preserve">CMBU</t>
  </si>
  <si>
    <t xml:space="preserve">CDBU</t>
  </si>
  <si>
    <t xml:space="preserve">MCBU</t>
  </si>
  <si>
    <t xml:space="preserve">AEBU</t>
  </si>
  <si>
    <t xml:space="preserve">Segmentos legados (ate 3T25)</t>
  </si>
  <si>
    <t xml:space="preserve">CNBU</t>
  </si>
  <si>
    <t xml:space="preserve">MBU</t>
  </si>
  <si>
    <t xml:space="preserve">EBU</t>
  </si>
  <si>
    <t xml:space="preserve">SBU</t>
  </si>
  <si>
    <t xml:space="preserve">Conferencia FY27E vs guidance 1T27 e consenso</t>
  </si>
  <si>
    <t xml:space="preserve">Guidance 1T27 x 4 (receita)</t>
  </si>
  <si>
    <t xml:space="preserve">Receita FY27E (modelo)</t>
  </si>
  <si>
    <t xml:space="preserve">   modelo / (4 x guia) - 1</t>
  </si>
  <si>
    <t xml:space="preserve">Base: +11% (crescimento sequencial guiado)</t>
  </si>
  <si>
    <t xml:space="preserve">Receita FY27E / 4 vs guia 1T27 (sanity)</t>
  </si>
  <si>
    <t xml:space="preserve">MB GAAP guia 1T27 (piso do ano, CFO)</t>
  </si>
  <si>
    <t xml:space="preserve">MB GAAP FY27E (modelo)</t>
  </si>
  <si>
    <t xml:space="preserve">EPS non-GAAP guia 1T27 x 4</t>
  </si>
  <si>
    <t xml:space="preserve">EPS non-GAAP FY27E (modelo)</t>
  </si>
  <si>
    <t xml:space="preserve">Consenso receita FY27E</t>
  </si>
  <si>
    <t xml:space="preserve">   modelo vs consenso</t>
  </si>
  <si>
    <t xml:space="preserve">Consenso EPS FY27E</t>
  </si>
  <si>
    <t xml:space="preserve">Ciclo - historico FY2013-FY2026 (referencia visual para a MB normalizada do DCF; nao linkado)</t>
  </si>
  <si>
    <t xml:space="preserve">10-K/8-K por ano (sector_cycle.json); capex = 'expenditures for PP&amp;E' (bruto); FY26A nao auditado; est. = valor estimado/arredondado</t>
  </si>
  <si>
    <t xml:space="preserve">FY13A</t>
  </si>
  <si>
    <t xml:space="preserve">FY14A</t>
  </si>
  <si>
    <t xml:space="preserve">FY15A</t>
  </si>
  <si>
    <t xml:space="preserve">FY16A</t>
  </si>
  <si>
    <t xml:space="preserve">FY17A</t>
  </si>
  <si>
    <t xml:space="preserve">FY18A</t>
  </si>
  <si>
    <t xml:space="preserve">FY19A</t>
  </si>
  <si>
    <t xml:space="preserve">FY20A</t>
  </si>
  <si>
    <t xml:space="preserve">FY21A</t>
  </si>
  <si>
    <t xml:space="preserve">Media FY13-25</t>
  </si>
  <si>
    <t xml:space="preserve">Mediana FY13-25</t>
  </si>
  <si>
    <t xml:space="preserve">Media ex-picos</t>
  </si>
  <si>
    <t xml:space="preserve">mg EBIT</t>
  </si>
  <si>
    <t xml:space="preserve">Capex (bruto, PP&amp;E)</t>
  </si>
  <si>
    <t xml:space="preserve">FCF simples (FCO - capex bruto)</t>
  </si>
  <si>
    <t xml:space="preserve">DRAM % receita</t>
  </si>
  <si>
    <t xml:space="preserve">Flag</t>
  </si>
  <si>
    <t xml:space="preserve"> 53s</t>
  </si>
  <si>
    <t xml:space="preserve">est. 53s</t>
  </si>
  <si>
    <t xml:space="preserve">ex FY18, FY22</t>
  </si>
  <si>
    <t xml:space="preserve">Comentario de ciclo (sector_cycle.json, enxuto)</t>
  </si>
  <si>
    <t xml:space="preserve">Ciclo 2016-18. Vale no FY16: ASP de DRAM -35% a/a e NAND -20%, GM 20%, EBIT 1% da receita, prejuizo de US$276 mn, fruto da fraqueza de PC e do excesso de bits pos-Elpida.</t>
  </si>
  <si>
    <t xml:space="preserve">A subida levou dois anos: GM 41,5% no FY17 e 59% no FY18 (EBIT 49%, lucro US$14,1 bi), com ASP de DRAM +35% e bits +20% no FY18; o pico de margem durou cerca de um ano fiscal e o capex dobrou (US$4,7 bi -&gt; US$8,9 bi) junto com o da industria, semeando a queda.</t>
  </si>
  <si>
    <t xml:space="preserve">Ciclo 2019-20. ASP de DRAM ~-30% no FY19 e mais mid-30s% no FY20 (NAND -mid-40s% no FY19); GM caiu de 59% para 46% e 31%, EBIT de 49% para 31% e 14%. Ciclo raso em lucro: sem prejuizo, FCF ajustado positivo (US$0,4 bi no FY20), porque cortes de capex/wafers vieram cedo e cloud/mobile absorveram bits (+low-30s% no FY20).</t>
  </si>
  <si>
    <t xml:space="preserve">Do vale (FY20) ao pico seguinte foram ~2 anos: GM 37,6% no FY21 e 45% no FY22.</t>
  </si>
  <si>
    <t xml:space="preserve">Ciclo 2021-23. Pico curto (~3 trimestres em 2022; GM 45%, EBIT 31,5%, capex 39% da receita) seguido do colapso mais profundo da historia recente: receita -49% no FY23, ASP de DRAM -high-40s% e NAND -low-50s%, GM -9% (incl. baixa de estoque de US$1,8 bi), EBIT -37%, prejuizo de US$5,8 bi, FCF ajustado -US$5,5 bi.</t>
  </si>
  <si>
    <t xml:space="preserve">Resposta: capex -36%, reestruturacao com headcount -15%; do vale (FY23) ate GM de 40% (FY25) foram ~2 anos, e o pico anterior de 45% so foi superado no FY26.</t>
  </si>
  <si>
    <t xml:space="preserve">Ciclo 2024-26. Comecou como ciclo de HBM/servidor de IA e virou choque de oferta generalizado: ASP de DRAM +low-40s% no FY25 e +~20% (FQ1-26), +low-60s% (FQ3-26) e +high-teens% (FQ4-26) t/t; receita FY26 de US$133 bi (3,5x o recorde anterior, com 53 semanas), GM 81% no ano e 87% na saida, EBIT 75% da receita, DRAM 76% do mix. Nenhum ciclo anterior passou de 59% de GM.</t>
  </si>
  <si>
    <t xml:space="preserve">O que difere: (1) HBM, muito mais intensiva em wafers por bit, vendida ate CY27 com preco em alta e sustentada por take-or-pay (26 SCAs, &gt;35% da receita ate 2030 com floor; US$12,7 bi de depositos de clientes no balanco; &gt;75% do output do FY27 comprometido).</t>
  </si>
  <si>
    <t xml:space="preserve">(2) Disciplina de capex: apesar de US$30,7 bi no FY26, a intensidade caiu para 23% da receita (vs 39% no FY22 e 42% no FY19), e o incremento do FY27 e majoritariamente obra civil, com cleanroom chegando so em meados de 2027 (ID1), fim de 2028 (ID2, Hiroshima) e 2030 (NY).</t>
  </si>
  <si>
    <t xml:space="preserve">(3) Retornos decrescentes das transicoes de no (1-gamma) limitam o crescimento de bits por wafer; a propria Micron diz nao ter visibilidade de quando oferta e demanda se equilibram e espera mercado apertado em FY27 e FY28.</t>
  </si>
  <si>
    <t xml:space="preserve">(4) CXMT ja tem 7-10% de share e ~350k wpm ate fim de 2026 (perto da Micron), mas com DUV e HBM3 no melhor caso no fim de 2026: pressiona DDR4/DDR5 commodity, nao HBM. (5) Em NAND, eSSD passou a 48% dos bits e YMTC a 14% de share; a TrendForce ja ve afrouxamento de oferta de NAND no 2S27.</t>
  </si>
  <si>
    <t xml:space="preserve">Risco classico: Samsung (&gt;110 tri won de capex+P&amp;D em 2026, P5 2028-29), SK hynix (capex high-40s tri won em 2026, M15X e Yongin 2027-29) e Micron expandem ao mesmo tempo; historicamente a oferta nova chega 2-3 anos depois e derruba o preco.</t>
  </si>
  <si>
    <t xml:space="preserve">Tetos de preco nos LTAs desde 2Q26 e dois trimestres de queda sequencial de bits em mobile/client sao os primeiros sinais de elasticidade.</t>
  </si>
  <si>
    <t xml:space="preserve">Diferenca estrutural: o piso de margem do proximo vale deve ficar bem acima dos anteriores (floor contratual, mix de HBM, capex incremental lento), mas 87% de GM e pico, nao nivel de normalizacao.</t>
  </si>
  <si>
    <t xml:space="preserve">Referencia: MB normalizada do DCF (Base 62% / Bull 68% / Bear 47%) vs media FY13-25 ~33% e picos de 45-59% (FY18, FY22) - input independente na aba Premissas.</t>
  </si>
  <si>
    <t xml:space="preserve">Notas - racional, fontes, controle de versao, pendencias e legenda</t>
  </si>
  <si>
    <t xml:space="preserve">Modelo Micron (MU) v1 - 07/out/26 - LF</t>
  </si>
  <si>
    <t xml:space="preserve">Controle de versao</t>
  </si>
  <si>
    <t xml:space="preserve">v1 - 07/out/26 - modelo inicial pos-4T26 - LF</t>
  </si>
  <si>
    <t xml:space="preserve">Legenda de cores</t>
  </si>
  <si>
    <t xml:space="preserve">Azul: valor hardcoded (historico reportado, premissa, snapshot de mercado)</t>
  </si>
  <si>
    <t xml:space="preserve">Preto: formula</t>
  </si>
  <si>
    <t xml:space="preserve">Verde: link direto para outra aba</t>
  </si>
  <si>
    <t xml:space="preserve">Cinza italico: linhas de memoria / crescimento / notas</t>
  </si>
  <si>
    <t xml:space="preserve">Fundo amarelo: seletor de cenario (Premissas!D4)</t>
  </si>
  <si>
    <t xml:space="preserve">Racional (racional.md, 07/out/26)</t>
  </si>
  <si>
    <t xml:space="preserve">Arquivos: premissas_final.json (premissas), premissas_lentes.md (tres lentes), scripts/build_premissas_final.py (esboco de P&amp;L/caixa que valida as premissas). US$ bi salvo indicacao; ano fiscal termina no inicio de setembro.</t>
  </si>
  <si>
    <t xml:space="preserve">1. Tese (5 bullets)</t>
  </si>
  <si>
    <t xml:space="preserve">- O FY27E ja esta ~75% contratado (alocacoes e SCAs) e o guia do 1T27 (61,5 bi, MB 86,25% non-GAAP como piso do ano) mais o carry-over de preco (saida do 4T26 46% acima da media FY26 em DRAM, 60% em NAND) entregam ~273 bi de receita e ~87% de MB sem nenhuma alta adicional relevante de preco: o FY27 e o ano de pico de margem, e o risco de estimativa nele e pequeno.</t>
  </si>
  <si>
    <t xml:space="preserve">- O pico de receita e o FY28E (~300 bi), nao o FY27: o preco de DRAM ainda sobe ate CQ4'27 (TrendForce: contrato de servidor sobe todo trimestre ate 2S27 em ritmo decrescente), mas a oferta nova (ID1/Tongluo meados de 27, M15X/Yongin, P5, CXMT ~420k wpm) chega em CQ1-CQ2'28 e o preco rola; NAND vira antes (2S27).</t>
  </si>
  <si>
    <t xml:space="preserve">- O ciclo nao foi abolido: a historia da propria Micron (ASP de DRAM -54% em 2 anos em 2018-20; -48% em 12 meses em 2023; capex dobrando no ano do pico como agora) sustenta um FY29-30 de ajuste no Base (receita ~213 -&gt; ~167 bi), mas o piso de margem fica ~68% - acima de qualquer pico anterior - por causa dos floors contratuais (&gt;35% da receita ate 2030), do HBM com preco anual e do capex concentrado em obra civil.</t>
  </si>
  <si>
    <t xml:space="preserve">- Mesmo no vale do Base a empresa gera ~90 bi de lucro e ~95 bi de FCF; com 68 bi de caixa liquido, fim das restricoes CHIPS em 9-dez-26 e a promessa de devolver 100% do caixa excedente via recompra, a base de acoes cai ~40-45% ate FY31 - o EPS normalizado e muito menos ciclico que a receita.</t>
  </si>
  <si>
    <t xml:space="preserve">- Em 5,9x o EPS FY27E de consenso a acao ja precifica um ciclo; a assimetria vem de quando e quanto o preco cai (Bear: vira em CQ2'27, MB 44% no FY30, EPS ~31) versus se a gestao acerta que CY27 e CY28 ficam mais apertados que 2026 (Bull: pico de margem no FY28, 88,6%, EPS ~255-290).</t>
  </si>
  <si>
    <t xml:space="preserve">2. Riscos (4 bullets)</t>
  </si>
  <si>
    <t xml:space="preserve">- Reversao de preco antes do previsto: spot DDR5 parado desde set/26 com contrato ainda subindo, tetos de LTA ao nivel de CQ2'26, dois trimestres de bits em queda em mobile/client; cada -10% de ASP de DRAM em FY28 tira ~24 bi de receita e ~3 p.p. de MB (quase tudo cai no EBIT).</t>
  </si>
  <si>
    <t xml:space="preserve">- Oferta: Samsung (&gt;110 tri won de capex+P&amp;D em 2026, P5 2028-29), SK hynix (high-40s tri won, M15X/Yongin) e CXMT (350k -&gt; 500k wpm, G5 DUV ja em DDR5/LPDDR, 17% da capacidade global em 2027) expandem ao mesmo tempo que a Micron (capex 27 -&gt; 52 -&gt; 58 bi); historicamente a oferta chega 2-3 anos depois e derruba o preco; D&amp;A sobe de 9,5 para ~23 bi ate FY29 independentemente do preco.</t>
  </si>
  <si>
    <t xml:space="preserve">- Demanda/IA: DRAM+NAND = 68% do capex de CSPs em 2027 (TrendForce) - participacao insustentavel; qualquer digestao de capex de hyperscalers atinge memoria primeiro; NVIDIA ja reduziu config de HBM no Rubin Ultra; share de HBM da Micron caiu de 21% para 18% (Counterpoint 1Q-&gt;2Q26) com Samsung voltando no HBM4.</t>
  </si>
  <si>
    <t xml:space="preserve">- Contratos e politica: take-or-pay com 12,9 bi de depositos nunca foi testado num vale (renegociacao/litigio); CAC China, tarifas Sec. 232 e controles BIS; CHIPS condiciona recompras e grants a marcos; FY26 ainda nao auditado e com 53 semanas (base inflada em ~2% para o FY27).</t>
  </si>
  <si>
    <t xml:space="preserve">3. Racional por cenario</t>
  </si>
  <si>
    <t xml:space="preserve">Base (visao da casa)</t>
  </si>
  <si>
    <t xml:space="preserve">FY27E: receita ~273 bi (DRAM 100,7 x 1,15 x 1,76 = ~204 bi; NAND 31,8 x 1,18 x 1,82 = ~68 bi), -0,8% vs consenso (275 bi) e +11% vs 4x o guia do 1T27; trajetoria 60,7 / 66,4 / 71,2 / 74,6 bi, crescimento sequencial em todos os trimestres como a gestao disse. MB GAAP ~86,8% (1T27 85,95% como piso, depois 86,5 / 87,0 / 87,3%); custo por bit +24% em DRAM e +14% em NAND absorve ~1 bi de bonus/start-ups e D&amp;A de 12,5 bi. Opex GAAP ~10,2 bi (P&amp;D +32%, SG&amp;A +25%; +2,5 bi guiados). EPS esboco ~174 GAAP / ~176 non-GAAP vs consenso 176.</t>
  </si>
  <si>
    <t xml:space="preserve">FY28E: receita ~300 bi (-4,5% vs consenso de 315 bi), MB ~86,2%: DRAM bits +14% (ID1/Tongluo), ASP +1,5% na media (ainda +3/+1% t/t ate CQ4'27, depois -7/-12%), NAND -20% (oferta &gt; demanda em 2027 segundo a TrendForce). EPS ~210 em linha com o consenso (206) gracas a ~160 bi de recompras.</t>
  </si>
  <si>
    <t xml:space="preserve">FY29E-FY30E: ajuste classico, calibrado em 2018-20 - ASP de DRAM -35% e -30% (acumulado -54%), NAND -40% e -24%; bits +11%/+9% e +11%/+12%; custo por bit +7% no FY29 (D&amp;A 23 bi sobre bits fracos) e -2% no FY30; MB 77% -&gt; 68%; receita 213 -&gt; 167 bi; capex cortado 58 -&gt; 38 -&gt; 30 bi (-35%, como no FY23); DIO sobe a 165 dias. Trough de EPS ~115.</t>
  </si>
  <si>
    <t xml:space="preserve">FY31E: recuperacao (+24%, MB ~73%, bits +16%/+19%, ASP +6/+8%), capex 36 bi.</t>
  </si>
  <si>
    <t xml:space="preserve">Pico de margem: FY27E. Pico de receita: FY28E. Vale: FY30E. A diferenca estrutural que defendo diante de um PM cetico e so uma: o vale fica 10 p.p. acima do pico de 2018 porque um terco do book tem floor e HBM tem preco anual - e nao que o ciclo tenha acabado.</t>
  </si>
  <si>
    <t xml:space="preserve">A gestao esta certa: oferta &lt; demanda em CY27 e CY28, sem linha de visao de equilibrio. FY27E ~285 bi (+3,5% vs consenso), MB 87,5% (DRAM bits +17%, ASP +80%; NAND +19%/+90%). Pico de margem no FY28E: MB ~88,6%, receita ~360 bi (+14% vs consenso), ASP DRAM +10%, bits +19%; o ciclo fica 7-8 trimestres acima de 85% porque a capacidade nova (Yongin/P5 2028-29, ID2/Hiroshima fim-28) e obra civil de rampa lenta e os SCAs ancoram ~50% da receita. Queda so a partir do 2S de CY28: FY29E -12%/-18% (MB 87%, receita ~367 bi), FY30E -30%/-30% (MB 81%), FY31E -14%/-12% (MB 80%, receita ~291 bi). Capex 54/66/60/42/38 bi, D&amp;A ate 36 bi; recompras 95/190/220/190/180 bi (UBS: &gt;40% das acoes ate CY28); EPS FY28E ~258. O vale fica fora do horizonte, por isso o normalizado (MB 68%, 0,98x FY31E) e um haircut sobre o FY31E. Nao assumo MB &gt;89% nem receita &gt;370 bi: tetos de LTA e elasticidade em PC/mobile ja aparecem.</t>
  </si>
  <si>
    <t xml:space="preserve">O ciclo vira em CQ2'27 como em 2018 e 2022: spot parado, tetos de LTA, elasticidade de consumo, capex simultaneo das tres e CXMT a 17% da capacidade. FY27E ~245 bi (-11% vs consenso, = 4x o guia): 1T27 na parte baixa do guia e depois 63 / 62 / 60 bi - quebra o 'crescimento sequencial'; MB 85,3% (DRAM bits +14%, ASP +58% so de carry-over; custo/bit +25%). Pico de margem FY27E (4T26/1T27). FY28E: ASP DRAM -36%, NAND -44%, MB 75%, receita ~169 bi (-46% vs consenso). FY29E: ASP -42%/-44% (acumulado -63% - a alta foi de 5x), custo/bit +10% (subutilizacao e baixas de estoque como no FY23), MB 52%, receita ~105 bi. FY30E vale: MB 44% (acima do FY20 de 31% pelos floors e HBM, abaixo do pico de 2018), receita ~97 bi, EPS ~32. FY31E +29%, MB 55%. Capex 49/40/25/21/25 bi, D&amp;A ainda 21-23 bi em FY29-30; P&amp;D e SG&amp;A cortados em FY29-30; aliquota 18-23% nos anos fracos; recompras 70/80 bi no topo e depois 25/10/15 bi; DPS congelado. Risco nao modelado nas linhas: renegociacao dos SCAs e devolucao dos 12,9 bi de depositos.</t>
  </si>
  <si>
    <t xml:space="preserve">4. Mid-cycle e WACC</t>
  </si>
  <si>
    <t xml:space="preserve">Mid-cycle (base do valor terminal): parte da historia (MB media FY13-25 ~33%, picos 45-59%, vales -9/+20%; capex/receita 30-42% nos ciclos anteriores, 20,5% liquido no FY26) e ajusta pelo que mudou: mix de data center/HBM (CMBU+CDBU ~63% da receita no 4T26), floors contratuais ate 2030, capex em obra civil e CXMT/YMTC ganhando share em commodity. Base: MB 62% (acima do melhor ano da historia, abaixo do vale modelado de 68% porque os floors expiram em 2030-31 e a capacidade de Samsung/SK/CXMT chega), opex 7,2%, capex 24% (capex/D&amp;A ~1,5x, consistente com bits +15-20% a.a. e ASP caindo ~10% a.a. no longo prazo), D&amp;A 16,5%, aliquota 15,5%, NWC 15% da variacao de receita, receita 0,95x FY31E (FY31 e ano de recuperacao). Bull: MB 68%, 0,98x FY31E, capex 25%. Bear: MB 47% (ciclo 'normal' com mix melhor), 0,97x FY31E, opex 9%, capex 30%, D&amp;A 20%.</t>
  </si>
  <si>
    <t xml:space="preserve">WACC: rf 5,27% (UST10Y, FRED 06/out/26; tocou 5,36% em 07/out), ERP 4,2% (Damodaran 01/out/26; 4,42% com spread soberano), beta bruto 2,23 (Yahoo 5a mensal; faixa 1,6-2,3) -&gt; Base 1,82 (Blume), Bull 1,65, Bear 2,10; Kd 5,9% (UST + ~60 bp: tender de mar-26 a T+30/40 bp e OAS BBB ~85 bp; quotes de bonds abaixo do UST estao stale); divida 5,2 bi = 0,5% do capital (mkt cap 1,18 tri); aliquota 15,5%; sem premio de tamanho/pais. Resultado: ~12,9% Base, ~12,2% Bull, ~14,0% Bear; g terminal 3,0 / 3,5 / 2,5%. Nota: com rf a 5,3% e beta ~2, o WACC e alto por construcao; sensibilizar o modelo com beta 1,5 (WACC ~11,6%) para dialogar com o sell-side.</t>
  </si>
  <si>
    <t xml:space="preserve">5. Pendencias / to-dos</t>
  </si>
  <si>
    <t xml:space="preserve">- Refazer o balanco de abertura e o split DRAM/NAND, intangiveis, ROU, DTA e cronograma de divida com o 10-K FY26 quando sair (esperado ate ~mid-out/26; CIK 723125); conferir a MB por tecnologia estimada (DRAM 81,5% / NAND 78,6%).</t>
  </si>
  <si>
    <t xml:space="preserve">- Ajustar o FY27 em dez/26 (1T27 real + guia 2T27): checar se o custo por bit do 1T27 (+~19% t/t implicito) foi pontual (bonus em estoque) ou recorrente (start-ups); revisar D&amp;A FY27 (~12,5 bi inferido, sem guia).</t>
  </si>
  <si>
    <t xml:space="preserve">- Capex FY27: substituir 52 bi pelo numero anual quando a gestao der (so 1S ~25 bi e 2S maior); separar obra civil x equipamento para a curva de D&amp;A.</t>
  </si>
  <si>
    <t xml:space="preserve">- Recompras: confirmar o tamanho da nova autorizacao apos 9-dez-26 e o 'nivel-alvo de caixa' (nao divulgado); modelar o preco medio de recompra como sensibilidade.</t>
  </si>
  <si>
    <t xml:space="preserve">- SCAs: obter nivel dos floors/tetos (nao divulgado) e a curva de devolucao dos depositos (12,9 bi) para o fluxo de caixa de FY29-31; conferir 16 vs 26 acordos.</t>
  </si>
  <si>
    <t xml:space="preserve">- HBM: modelar explicitamente share (18-22%) x preco por stack (HBM4 8-hi ~1.300 US$) x TAM (100 bi gestao vs 160/282 bi JPM) como sub-bloco do DRAM.</t>
  </si>
  <si>
    <t xml:space="preserve">- Preco: acompanhar TrendForce 1Q27 (contrato DRAM/NAND) e spot DDR5 16Gb (~58 US$) como gatilho de revisao do ano de pico; conferir o resultado efetivo dos contratos de 3T26.</t>
  </si>
  <si>
    <t xml:space="preserve">- WACC: atualizar rf/ERP mensalmente; obter spread live (TRACE) dos bonds 2033/2041; confirmar rating atual da Fitch e data do upgrade S&amp;P/Moody's.</t>
  </si>
  <si>
    <t xml:space="preserve">- Consenso: acompanhar MB FY27 de consenso (ainda nao disponivel) e revisoes pos-10-K; validar EPS GAAP vs non-GAAP (SBC ~1,9-2,3 bi).</t>
  </si>
  <si>
    <t xml:space="preserve">- 53a semana: normalizar a base FY26 (-1,9%) nas comparacoes a/a do FY27 no modelo.</t>
  </si>
  <si>
    <t xml:space="preserve">Pendencias / gaps (dos JSON de pesquisa)</t>
  </si>
  <si>
    <t xml:space="preserve">- Micron nao divulga COGS/margem por tecnologia: margens DRAM/NAND do FY26 sao estimativas (estimate=true) e o split de receita FY26 vem de fonte secundaria do deck; confirmar no 10-K FY26.</t>
  </si>
  <si>
    <t xml:space="preserve">- Sem guidance de capex anual FY27 (so 1T ~11,5 bi, 1S ~25 bi, 2S maior) nem de D&amp;A FY27: 52 bi e ~12,5 bi sao inferencias.</t>
  </si>
  <si>
    <t xml:space="preserve">- Sem consenso de MB FY27/FY28 nem de FY29+: comparacoes de FY28 usam EPS de consenso (206,33) como proxy.</t>
  </si>
  <si>
    <t xml:space="preserve">- Nivel dos floors/ceilings das SCAs nao divulgado; o piso de MB do Base (~68% no FY30E) e uma leitura da frase da gestao ('significativamente acima de qualquer pico anterior' no floor), nao um dado.</t>
  </si>
  <si>
    <t xml:space="preserve">- Share e preco por stack de HBM nao modelados explicitamente (entram no ASP/custo por bit de DRAM).</t>
  </si>
  <si>
    <t xml:space="preserve">- Yield/spread live dos bonds da Micron indisponivel (quotes stale abaixo do UST): Kd = UST10Y + ~60 bp (tender mar-26 +30/40 bp; OAS BBB ~85 bp).</t>
  </si>
  <si>
    <t xml:space="preserve">- Tamanho da nova autorizacao de recompra pos 9-dez-26 nao anunciado; recompras sao inferencia de '100% do caixa excedente' (CFO) e de estimativas de sell-side (BofA, UBS).</t>
  </si>
  <si>
    <t xml:space="preserve">- Fiscal calendar: 52/53-week year ending Thursday closest to Aug-31. FY2022-FY2025 = 52 weeks each; FY2026 = 53 weeks (Q4 FY26 had 14 weeks) - YoY comparisons for FY26 are flattered by the extra week.</t>
  </si>
  <si>
    <t xml:space="preserve">- FY2026 figures are UNAUDITED (8-K Ex. 99.1 press release, 2026-09-30). The FY2026 Form 10-K had not been located on EDGAR as of 2026-10-07 (FY2025 10-K was filed 2025-10-03); DRAM/NAND split, restructuring line, instrument-level debt and intangibles for FY26 must be refreshed from the 10-K when filed.</t>
  </si>
  <si>
    <t xml:space="preserve">- BU operating income ($) for 4Q26, 1Q26 and 4Q25 not disclosed in retrieved sources (4Q26 values are revenue x disclosed margin, flagged estimate; FY26 10-K pending).</t>
  </si>
  <si>
    <t xml:space="preserve">- 4Q24: DRAM/NAND sequential bit-shipment and ASP text, legacy BU (CNBU/MBU/EBU/SBU) dollar split, non-GAAP net income, and inventory days not retrieved from primary sources (third-party DIO 158 / debt 13.4B used, flagged).</t>
  </si>
  <si>
    <t xml:space="preserve">- 1Q25 EBU and SBU revenue not retrieved (sum = 2,787).</t>
  </si>
  <si>
    <t xml:space="preserve">- 2Q25 total debt not retrieved.</t>
  </si>
  <si>
    <t xml:space="preserve">- Inventory days for 1Q24-3Q24 and 3Q25 not retrieved.</t>
  </si>
  <si>
    <t xml:space="preserve">- Diluted share counts for 1Q24-2Q25, 4Q25, 1Q26 derived from NI/EPS (flagged); PR table values not retrieved.</t>
  </si>
  <si>
    <t xml:space="preserve">- FY26 10-K cover-page shares outstanding (10-K not indexed by search as of 2026-10-07; EDGAR CIK 723125 should be checked directly)</t>
  </si>
  <si>
    <t xml:space="preserve">- FY27 full-year gross margin consensus (only 1Q27 guide 86.25% and 'trough then rising' commentary)</t>
  </si>
  <si>
    <t xml:space="preserve">- FY27/FY28 consensus EBITDA, FCF, net income (only revenue &amp; EPS captured; marketscreener NI FY27 ~196.7bn unverified)</t>
  </si>
  <si>
    <t xml:space="preserve">- Samsung: EV, forward EV/EBITDA, forward EV/Sales, dated (Oct-26) forward P/E and P/B from a single consistent source</t>
  </si>
  <si>
    <t xml:space="preserve">- SK hynix: forward EV/EBITDA, EV/Sales fwd, reliable TTM P/E, dated EV</t>
  </si>
  <si>
    <t xml:space="preserve">- SanDisk: P/B, forward EV/Sales (only Jul-26 fwd P/S)</t>
  </si>
  <si>
    <t xml:space="preserve">Conflitos de fonte registrados (resumo)</t>
  </si>
  <si>
    <t xml:space="preserve">- [trimestral] 2Q26 gross margin: PR 74.4% GAAP / 74.9% non-GAAP vs call recaps '75%'. Used PR.</t>
  </si>
  <si>
    <t xml:space="preserve">- [trimestral] 3Q26 GAAP EPS: CNBC $24.46 vs PR $24.67. Used PR.</t>
  </si>
  <si>
    <t xml:space="preserve">- [trimestral] 3Q25 diluted shares: 3Q26 PR year-ago column 1,125 (matches GAAP NI/EPS) but non-GAAP NI 2,180 / 1.91 implies ~1,141; rounding in PR.</t>
  </si>
  <si>
    <t xml:space="preserve">- [trimestral] 4Q26 DIO: remarks 129 days vs one third-party article 131. Used 129.</t>
  </si>
  <si>
    <t xml:space="preserve">- [trimestral] 4Q26 data center SSD revenue: Investing.com transcript '$10 million' typo vs prepared remarks 'nearly $10 billion'.</t>
  </si>
  <si>
    <t xml:space="preserve">- [trimestral] FY27 opex: Jun-26 remarks '+~$1B'; Sep-26 call '+~$2.5B'. Latest used. One summary claimed R&amp;D would decrease by &gt;$1B - contradicts rest, ignored.</t>
  </si>
  <si>
    <t xml:space="preserve">- [mercado] FY27 consensus EPS: 176.15 (stockanalysis) vs 176.42 (yahoo, 36 est.) vs 173.9 (marketscreener, GAAP base) vs 161.49 (older gurufocus/tikr snapshot) vs ~158 (Motley Fool, pre-print). Used stockanalysis/yahoo (post-4Q26).</t>
  </si>
  <si>
    <t xml:space="preserve">- [mercado] Average price target: 1,535.57 (stockanalysis/investing/yahoo) vs 1,520 (wallstreetbuys/marketscreener) vs 1,547.71 (wallstreetzen/tickflow) vs 1,474.53 (chartmill mean) vs 1,430 (Benzinga 10/01) vs 1,385.93 (marketbeat). Lowest target 361 (stale) vs 1,100 (TipRanks).</t>
  </si>
  <si>
    <t xml:space="preserve">- [mercado] Market cap MU: 1.18tn (derived at 10/06 close) vs 1.20tn (wallstreetzen at 10/05) vs 1.058tn (stockinvest outlier). Shares 1,129.4mn (wallstreetzen) vs 1,128.0mn (companiesmarketcap) vs 1,127.7mn (last SEC cover, Mar-26).</t>
  </si>
  <si>
    <t xml:space="preserve">- [mercado] Samsung USD cap: 1,291.5bn (derived from stockanalysis KRW 1,727.18tn) vs 1,346bn (companiesmarketcap); Korean vendors show ~1,590-1,613tn at 268,500 -&gt; basis (common only vs incl. prefs/treasury) unclear. Samsung P/E: fwd 5.3-5.5x vs trailing 12.2x vs gurufocus TTM 22.9x (Jul-26, older EPS).</t>
  </si>
  <si>
    <t xml:space="preserve">- [mercado] SK hynix USD cap: 966.3bn (derived) vs 942.12bn (companiesmarketcap) vs 1.38tn (marketcaplens ADR, outlier).</t>
  </si>
  <si>
    <t xml:space="preserve">- [mercado] Kioxia: 10/06 close 18,735 (investing.com/msn) vs 17,900 (Yahoo, actually 10/07); prior close 19,120 (msn) vs 19,300 (investing.com 10/05). P/E TTM 17.74 (yahoo) vs 23.19 (stockanalysis). Share count 547mn (morningstar, pre-split) vs 1,646mn (stockopedia).</t>
  </si>
  <si>
    <t xml:space="preserve">Fontes (URLs deduplicadas, por tema)</t>
  </si>
  <si>
    <t xml:space="preserve">Demonstracoes financeiras anuais (financials_annual.json) - 37 URLs</t>
  </si>
  <si>
    <t xml:space="preserve">https://www.sec.gov/Archives/edgar/data/723125/000072312524000027/Financial_Report.xlsx</t>
  </si>
  <si>
    <t xml:space="preserve">https://www.sec.gov/Archives/edgar/data/723125/000072312522000048/Financial_Report.xlsx</t>
  </si>
  <si>
    <t xml:space="preserve">https://www.sec.gov/Archives/edgar/data/723125/000072312522000048/mu-20220901.htm</t>
  </si>
  <si>
    <t xml:space="preserve">https://stockanalysis.com/stocks/mu/dividend/</t>
  </si>
  <si>
    <t xml:space="preserve">https://www.sec.gov/Archives/edgar/data/723125/000072312525000028/mu-20250828.htm</t>
  </si>
  <si>
    <t xml:space="preserve">https://stockdividendscreener.com/technology/semiconductor/micron/micron-revenue-breakdown-by-technology/</t>
  </si>
  <si>
    <t xml:space="preserve">https://www.sec.gov/Archives/edgar/data/723125/000072312524000027/mu-20240829.htm</t>
  </si>
  <si>
    <t xml:space="preserve">https://www.sec.gov/Archives/edgar/data/0000723125/000072312526000018/a2026q4ex991-pressrelease.htm</t>
  </si>
  <si>
    <t xml:space="preserve">https://www.thelec.net/news/articleView.html?idxno=14332</t>
  </si>
  <si>
    <t xml:space="preserve">https://www.sec.gov/Archives/edgar/data/723125/000072312526000004/a2026q2ex991-pressrelease.htm</t>
  </si>
  <si>
    <t xml:space="preserve">https://www.sec.gov/Archives/edgar/data/723125/000072312523000054/mu-20230831.htm</t>
  </si>
  <si>
    <t xml:space="preserve">https://stockanalysis.com/stocks/mu/financials/balance-sheet/</t>
  </si>
  <si>
    <t xml:space="preserve">https://www.sec.gov/Archives/edgar/data/0000723125/000072312526000015/mu-20260528.htm</t>
  </si>
  <si>
    <t xml:space="preserve">https://www.sec.gov/Archives/edgar/data/723125/000072312522000044/a2022q4ex991-pressrelease.htm</t>
  </si>
  <si>
    <t xml:space="preserve">https://www.sec.gov/Archives/edgar/data/723125/000072312523000051/a2023q4ex991-pressrelease.htm</t>
  </si>
  <si>
    <t xml:space="preserve">https://www.stocktitan.net/sec-filings/MU/10-k-micron-technology-inc-files-annual-report-a879767daea7.html</t>
  </si>
  <si>
    <t xml:space="preserve">https://www.sec.gov/Archives/edgar/data/723125/000072312524000023/a2024q4ex991-pressrelease.htm</t>
  </si>
  <si>
    <t xml:space="preserve">https://www.sec.gov/Archives/edgar/data/723125/000072312525000024/a2025q4ex991-pressrelease.htm</t>
  </si>
  <si>
    <t xml:space="preserve">https://www.sec.gov/Archives/edgar/data/723125/000110465926038249/tm2610810d1_ex99-1.htm</t>
  </si>
  <si>
    <t xml:space="preserve">https://www.sec.gov/Archives/edgar/data/723125/000072312526000006/mu-20260226.htm</t>
  </si>
  <si>
    <t xml:space="preserve">https://investors.micron.com/files/doc_financials/2026/q4/Q4-FY26-Prepared-Remarks.pdf</t>
  </si>
  <si>
    <t xml:space="preserve">https://www.investing.com/news/stock-market-news/moodys-upgrades-microns-senior-unsecured-ratings-to-baa2-93CH-4438229</t>
  </si>
  <si>
    <t xml:space="preserve">https://cbonds.com/news/3941503/</t>
  </si>
  <si>
    <t xml:space="preserve">https://cbonds.com/news/3712191/</t>
  </si>
  <si>
    <t xml:space="preserve">https://investors.micron.com/static-files/631b1a32-5537-46ae-8f40-82e42fc79dfe</t>
  </si>
  <si>
    <t xml:space="preserve">https://www.sec.gov/Archives/edgar/data/723125/000072312525000046/mu-20251127.htm</t>
  </si>
  <si>
    <t xml:space="preserve">https://www.sec.gov/Archives/edgar/data/723125/000110465926034174/tm269755d1_ex99-1.htm</t>
  </si>
  <si>
    <t xml:space="preserve">https://www.stocktitan.net/sec-filings/MU/10-q-micron-technology-inc-quarterly-earnings-report-82248ace96e6.html</t>
  </si>
  <si>
    <t xml:space="preserve">https://finance.yahoo.com/news/microns-dram-revenues-hit-28-141400932.html</t>
  </si>
  <si>
    <t xml:space="preserve">https://finance.yahoo.com/technology/ai/articles/micron-q4-2026-earnings-54-204706005.html</t>
  </si>
  <si>
    <t xml:space="preserve">https://www.globenewswire.com/news-release/2025/04/17/3063472/14450/en/micron-announces-business-unit-reorganization-to-capitalize-on-ai-growth-across-all-market-segments.html</t>
  </si>
  <si>
    <t xml:space="preserve">https://www.globenewswire.com/news-release/2026/09/30/3372366/14450/en/micron-technology-inc-reports-record-fiscal-fourth-quarter-and-full-year-2026-results.html</t>
  </si>
  <si>
    <t xml:space="preserve">https://www.indmoney.com/blog/us-stocks/micron-stock-bigger-buybacks-free-cash-flow</t>
  </si>
  <si>
    <t xml:space="preserve">https://www.investing.com/news/stock-market-news/micron-rating-raised-to-bbb-by-sp-on-ai-demand-growth-93CH-4529375</t>
  </si>
  <si>
    <t xml:space="preserve">https://www.nist.gov/news-events/news/2024/12/department-commerce-awards-chips-incentives-micron-idaho-and-new-york</t>
  </si>
  <si>
    <t xml:space="preserve">https://www.sec.gov/Archives/edgar/data/723125/000110465925003448/tm2425615-3_424b5.htm</t>
  </si>
  <si>
    <t xml:space="preserve">https://x.com/financialjuice/status/2090131028484464947</t>
  </si>
  <si>
    <t xml:space="preserve">Trimestral, guidance e HBM (quarterly.json) - 48 URLs</t>
  </si>
  <si>
    <t xml:space="preserve">https://www.sec.gov/Archives/edgar/data/723125/000072312523000071/a2024q1ex991-pressrelease.htm</t>
  </si>
  <si>
    <t xml:space="preserve">https://www.sec.gov/Archives/edgar/data/723125/000072312523000077/mu-20231130.htm</t>
  </si>
  <si>
    <t xml:space="preserve">https://www.sec.gov/Archives/edgar/data/723125/000110465923121460/tm2331627d1_ex99-1.htm</t>
  </si>
  <si>
    <t xml:space="preserve">https://www.sec.gov/Archives/edgar/data/723125/000072312524000004/a2024q2ex991-pressrelease.htm</t>
  </si>
  <si>
    <t xml:space="preserve">https://www.sec.gov/Archives/edgar/data/723125/000072312524000007/mu-20240229.htm</t>
  </si>
  <si>
    <t xml:space="preserve">https://s25.q4cdn.com/621799436/files/doc_financials/2024/q2/FY24-Q2-Prepared-Remarks.pdf</t>
  </si>
  <si>
    <t xml:space="preserve">https://www.sec.gov/Archives/edgar/data/723125/000072312524000016/a2024q3ex991-pressrelease.htm</t>
  </si>
  <si>
    <t xml:space="preserve">https://www.sec.gov/Archives/edgar/data/723125/000072312524000019/mu-20240530.htm</t>
  </si>
  <si>
    <t xml:space="preserve">https://investors.micron.com/static-files/4550f98c-1054-4847-a929-c17d520a0564</t>
  </si>
  <si>
    <t xml:space="preserve">https://micron.gcs-web.com/static-files/a531c7f0-fca2-48f3-8f24-79c945aaa2d2</t>
  </si>
  <si>
    <t xml:space="preserve">https://www.fool.com/earnings/call-transcripts/2024/10/10/micron-technology-mu-q4-2024-earnings-call-transcr/</t>
  </si>
  <si>
    <t xml:space="preserve">https://www.sec.gov/Archives/edgar/data/723125/000072312524000047/mu-20241128.htm</t>
  </si>
  <si>
    <t xml:space="preserve">https://www.sec.gov/Archives/edgar/data/723125/000072312524000046/a2025q1ex991-pressrelease.htm</t>
  </si>
  <si>
    <t xml:space="preserve">https://s25.q4cdn.com/621799436/files/doc_financials/2025/q1/FY25-Q1-Prepared-Remarks.pdf</t>
  </si>
  <si>
    <t xml:space="preserve">https://www.sec.gov/Archives/edgar/data/723125/000072312525000009/mu-20250227.htm</t>
  </si>
  <si>
    <t xml:space="preserve">https://www.sec.gov/Archives/edgar/data/723125/000072312525000006/a2025q2ex991-pressrelease.htm</t>
  </si>
  <si>
    <t xml:space="preserve">https://s25.q4cdn.com/621799436/files/doc_financials/2025/q2/Micron_FY25_Q2_Prepared_Remarks_2-1.pdf</t>
  </si>
  <si>
    <t xml:space="preserve">https://www.sec.gov/Archives/edgar/data/723125/000072312525000019/a2025q3ex991-pressrelease.htm</t>
  </si>
  <si>
    <t xml:space="preserve">https://www.sec.gov/Archives/edgar/data/723125/000072312525000021/mu-20250529.htm</t>
  </si>
  <si>
    <t xml:space="preserve">https://investors.micron.com/static-files/23e319ba-a44e-4da4-9462-d4eea7376787</t>
  </si>
  <si>
    <t xml:space="preserve">https://www.fool.com/earnings/call-transcripts/2025/06/25/micron-mu-q3-2025-earnings-call-transcript/</t>
  </si>
  <si>
    <t xml:space="preserve">https://s25.q4cdn.com/621799436/files/doc_financials/2025/q3/Micron_Q3-25-Earnings-Deck.pdf</t>
  </si>
  <si>
    <t xml:space="preserve">https://www.sec.gov/Archives/edgar/data/723125/000110465925075940/tm2522933d1_ex99-1.htm</t>
  </si>
  <si>
    <t xml:space="preserve">https://s25.q4cdn.com/621799436/files/doc_financials/2025/q4/Q4-2025-Prepared-Remarks-1.pdf</t>
  </si>
  <si>
    <t xml:space="preserve">https://www.investing.com/news/transcripts/earnings-call-transcript-micron-technology-q4-2025-beats-eps-and-revenue-forecasts-93CH-4252280</t>
  </si>
  <si>
    <t xml:space="preserve">https://www.sec.gov/Archives/edgar/data/723125/000072312525000044/a2026q1ex991-pressrelease.htm</t>
  </si>
  <si>
    <t xml:space="preserve">https://s25.q4cdn.com/621799436/files/doc_financials/2026/q1/Micron_Q1-2026-Prepared-Remarks.pdf</t>
  </si>
  <si>
    <t xml:space="preserve">https://www.fool.com/earnings/call-transcripts/2025/12/17/micron-mu-q1-2026-earnings-call-transcript/</t>
  </si>
  <si>
    <t xml:space="preserve">https://s25.q4cdn.com/621799436/files/doc_financials/2026/q2/Q2-2026-Prepared-Remarks.pdf</t>
  </si>
  <si>
    <t xml:space="preserve">https://www.sec.gov/Archives/edgar/data/0000723125/000072312526000013/a2026q3ex991-pressrelease.htm</t>
  </si>
  <si>
    <t xml:space="preserve">https://s25.q4cdn.com/621799436/files/doc_financials/2026/q3/Q3-FY26-Prepared-Remarks.pdf</t>
  </si>
  <si>
    <t xml:space="preserve">https://s25.q4cdn.com/621799436/files/doc_financials/2026/q3/Micron_Q3_26_Earnings_Deck.pdf</t>
  </si>
  <si>
    <t xml:space="preserve">https://s25.q4cdn.com/621799436/files/doc_financials/2026/q4/Q4-FY26-Prepared-Remarks.pdf</t>
  </si>
  <si>
    <t xml:space="preserve">https://www.fool.com/earnings/call-transcripts/2026/10/01/micron-mu-q4-2026-earnings-call-transcript/</t>
  </si>
  <si>
    <t xml:space="preserve">https://www.investing.com/news/transcripts/earnings-call-transcript-micron-tops-q4-2026-estimates-as-demand-stays-hot-93CH-4925992</t>
  </si>
  <si>
    <t xml:space="preserve">https://investors.micron.com/files/doc_financials/2026/q4/Q4-26-Earnings-Deck.pdf</t>
  </si>
  <si>
    <t xml:space="preserve">https://www.nasdaq.com/press-release/micron-technology-inc-reports-record-fiscal-fourth-quarter-and-full-year-2026-results</t>
  </si>
  <si>
    <t xml:space="preserve">https://www.tradingkey.com/news/earnings/262194891-tradingkey</t>
  </si>
  <si>
    <t xml:space="preserve">https://www.tradingkey.com/news/presentation/262195864-tradingkey</t>
  </si>
  <si>
    <t xml:space="preserve">https://www.gurufocus.com/news/9104128/micron-technology-mu-raises-fiscal-2027-capex-amid-strong-dram-demand</t>
  </si>
  <si>
    <t xml:space="preserve">https://www.newsquawk.com/headlines/micron-mu-says-operating-expenses-are-to-increase-by-about-usd-25bln-in-fiscal-2027-and-expects-memory-and-storage-supply-demand-conditions-to-be-much-higher-in-fiscal-2027-and-2028-than-in-2026</t>
  </si>
  <si>
    <t xml:space="preserve">https://www.sec.gov/Archives/edgar/data/723125/000072312525000040/202510karscopy.pdf</t>
  </si>
  <si>
    <t xml:space="preserve">https://www.trendforce.com/news/2025/06/26/news-micron-scales-up-hbm-to-four-major-gpuasic-clients-targets-24-market-share-by-year-end/</t>
  </si>
  <si>
    <t xml:space="preserve">https://blocksandfiles.com/2025/09/24/dram-drives-micron-revenues-to-record-level-but-nand-falters/</t>
  </si>
  <si>
    <t xml:space="preserve">https://siliconanalysts.com/analysis/hbm4-market-share-race-2026</t>
  </si>
  <si>
    <t xml:space="preserve">https://www.benzinga.com/markets/earnings/26/10/62098102/microns-73-billion-cash-mountain-is-about-to-move-cfo-signals-bigger-buybacks-we-have-the-ability-and-the-intent</t>
  </si>
  <si>
    <t xml:space="preserve">https://www.investing.com/news/stock-market-news/ubs-micron-could-repurchase-more-than-40-of-shares-by-2028-93CH-4801166</t>
  </si>
  <si>
    <t xml:space="preserve">https://www.fool.com/investing/2026/10/02/micron-plans-to-put-its-excess-cash-into-buybacks-here-s-how-much-of-the-stock-that-could-retire/</t>
  </si>
  <si>
    <t xml:space="preserve">Premissas (premissas_final.json) - 0 URLs</t>
  </si>
  <si>
    <t xml:space="preserve">Mercado, consenso, peers e taxas (market.json) - 136 URLs</t>
  </si>
  <si>
    <t xml:space="preserve">https://stockinvest.us/stock/MU</t>
  </si>
  <si>
    <t xml:space="preserve">https://www.heygotrade.com/en/us-stock/mu/</t>
  </si>
  <si>
    <t xml:space="preserve">https://www.wallstreetzen.com/stocks/us/nasdaq/mu</t>
  </si>
  <si>
    <t xml:space="preserve">https://companiesmarketcap.com/micron-technology/shares-outstanding/</t>
  </si>
  <si>
    <t xml:space="preserve">https://s25.q4cdn.com/621799436/files/doc_financials/2026/q2/0000723125-26-000006.pdf</t>
  </si>
  <si>
    <t xml:space="preserve">https://www.cnbc.com/quotes/MU</t>
  </si>
  <si>
    <t xml:space="preserve">https://www.macrotrends.net/stocks/charts/MU/micron-technology/stock-price-history</t>
  </si>
  <si>
    <t xml:space="preserve">https://finance.yahoo.com/quote/MU/analysis/</t>
  </si>
  <si>
    <t xml:space="preserve">https://www.marketscreener.com/quote/stock/MICRON-TECHNOLOGY-INC-30419498/finances/</t>
  </si>
  <si>
    <t xml:space="preserve">https://stockanalysis.com/stocks/mu/forecast/</t>
  </si>
  <si>
    <t xml:space="preserve">https://www.investing.com/equities/micron-tech-consensus-estimates</t>
  </si>
  <si>
    <t xml:space="preserve">https://wallstreetbuys.com/stocks/mu.us</t>
  </si>
  <si>
    <t xml:space="preserve">https://www.marketscreener.com/quote/stock/MICRON-TECHNOLOGY-INC-13639/consensus/</t>
  </si>
  <si>
    <t xml:space="preserve">https://tickernerd.com/stock/mu-forecast/</t>
  </si>
  <si>
    <t xml:space="preserve">https://www.marketbeat.com/stocks/NASDAQ/MU/forecast/</t>
  </si>
  <si>
    <t xml:space="preserve">https://finbold.com/wall-street-analysts-set-micron-mu-stock-price-target/</t>
  </si>
  <si>
    <t xml:space="preserve">https://www.benzinga.com/analyst-stock-ratings/analyst-color/26/10/62120688/micron-stock-erases-post-earnings-losses-analyst-price-targets</t>
  </si>
  <si>
    <t xml:space="preserve">https://seekingalpha.com/news/4650920-da-davidson-lifts-micron-price-target-to-3000-on-ai-memory-demand</t>
  </si>
  <si>
    <t xml:space="preserve">https://247wallst.com/investing/2026/10/07/this-wall-street-firm-just-put-a-3000-price-target-on-micron-stock/</t>
  </si>
  <si>
    <t xml:space="preserve">https://247wallst.com/investing/2026/10/02/microns-highest-price-target-on-wall-street-is-now-2100/</t>
  </si>
  <si>
    <t xml:space="preserve">https://finance.yahoo.com/markets/stocks/articles/goldman-sachs-raises-micron-stock-153237756.html</t>
  </si>
  <si>
    <t xml:space="preserve">https://za.investing.com/news/stock-market-news/citi-reiterates-micron-technology-stock-buy-rating-on-dram-outlook-93CH-4485863</t>
  </si>
  <si>
    <t xml:space="preserve">https://247wallst.com/investing/2026/09/23/micron-price-target-raised-to-1300-by-citi-on-stronger-dram-pricing-undersupply/</t>
  </si>
  <si>
    <t xml:space="preserve">https://www.thestreet.com/investing/stocks/micron-stock-rosenblatt-price-target</t>
  </si>
  <si>
    <t xml:space="preserve">https://ca.investing.com/news/stock-market-news/ubs-reiterates-buy-on-micron-stock-keeps-1625-target-on-earnings-93CH-4790184</t>
  </si>
  <si>
    <t xml:space="preserve">https://www.cnbc.com/2026/09/30/were-raising-our-micron-price-target-after-an-incredible-quarter-and-robust-outlook.html</t>
  </si>
  <si>
    <t xml:space="preserve">https://finance.yahoo.com/markets/stocks/articles/micron-plans-put-excess-cash-080601895.html</t>
  </si>
  <si>
    <t xml:space="preserve">https://companiesmarketcap.com/samsung/marketcap/</t>
  </si>
  <si>
    <t xml:space="preserve">https://comp.fnguide.com/SVO2/asp/SVD_Consensus.asp?gicode=A005930</t>
  </si>
  <si>
    <t xml:space="preserve">https://www.stockopedia.com/share-prices/samsung-electronics-co-KRX:005930/</t>
  </si>
  <si>
    <t xml:space="preserve">https://stockanalysis.com/quote/krx/005930/</t>
  </si>
  <si>
    <t xml:space="preserve">https://companiesmarketcap.com/sk-hynix/marketcap/</t>
  </si>
  <si>
    <t xml:space="preserve">https://www.stockopedia.com/share-prices/sk-hynix-KRX:000660/</t>
  </si>
  <si>
    <t xml:space="preserve">https://www.investing.com/equities/sk-hynix-inc</t>
  </si>
  <si>
    <t xml:space="preserve">https://www.marketscreener.com/quote/stock/SK-HYNIX-INC-6494929/</t>
  </si>
  <si>
    <t xml:space="preserve">https://stockanalysis.com/quote/krx/000660/market-cap/</t>
  </si>
  <si>
    <t xml:space="preserve">https://www.morningstar.com/stocks/xnas/sndk/quote</t>
  </si>
  <si>
    <t xml:space="preserve">https://www.cnn.com/markets/stocks/SNDK</t>
  </si>
  <si>
    <t xml:space="preserve">https://finviz.com/stock?t=SNDK</t>
  </si>
  <si>
    <t xml:space="preserve">https://www.marketscreener.com/quote/stock/SANDISK-CORPORATION-182801077/valuation/</t>
  </si>
  <si>
    <t xml:space="preserve">https://stockanalysis.com/stocks/sndk/financials/ratios/</t>
  </si>
  <si>
    <t xml:space="preserve">https://stockanalysis.com/stocks/sndk/statistics/</t>
  </si>
  <si>
    <t xml:space="preserve">https://www.fool.com/investing/2026/10/07/sandisk-is-up-500-in-2026-and-micron-isnt-far-behi/</t>
  </si>
  <si>
    <t xml:space="preserve">https://www.investing.com/equities/kioxia-holdings-historical-data</t>
  </si>
  <si>
    <t xml:space="preserve">https://www.stockopedia.com/share-prices/kioxia-holdings-TYO:285A/</t>
  </si>
  <si>
    <t xml:space="preserve">https://companiesmarketcap.com/kioxia-holdings-corporation/marketcap/</t>
  </si>
  <si>
    <t xml:space="preserve">https://stockanalysis.com/quote/tyo/285A/</t>
  </si>
  <si>
    <t xml:space="preserve">https://www.gurufocus.com/term/forward-pe-ratio/TSE:285A</t>
  </si>
  <si>
    <t xml:space="preserve">https://finance.yahoo.com/quote/285A.T/</t>
  </si>
  <si>
    <t xml:space="preserve">https://www.marketbeat.com/instant-alerts/price-western-digital-nasdaq-wdc-stock-price-down-69-time-to-sell-2026-10-06/</t>
  </si>
  <si>
    <t xml:space="preserve">https://www.morningstar.com/stocks/xnas/wdc/quote</t>
  </si>
  <si>
    <t xml:space="preserve">https://www.cnbc.com/quotes/WDC</t>
  </si>
  <si>
    <t xml:space="preserve">https://www.gurufocus.com/term/enterprise-value-to-ebitda/WDC</t>
  </si>
  <si>
    <t xml:space="preserve">https://www.gurufocus.com/term/forward-pe-ratio/WDC</t>
  </si>
  <si>
    <t xml:space="preserve">https://www.heygotrade.com/en/us-stock/wdc/</t>
  </si>
  <si>
    <t xml:space="preserve">https://www.marketbeat.com/stocks/NASDAQ/WDC/</t>
  </si>
  <si>
    <t xml:space="preserve">https://finance.yahoo.com/markets/stocks/articles/western-digital-fell-nearly-20-164529640.html</t>
  </si>
  <si>
    <t xml:space="preserve">https://stockanalysis.com/stocks/nvda/</t>
  </si>
  <si>
    <t xml:space="preserve">https://companiesmarketcap.com/nvidia/marketcap/</t>
  </si>
  <si>
    <t xml:space="preserve">https://stockanalysis.com/stocks/nvda/statistics/</t>
  </si>
  <si>
    <t xml:space="preserve">https://www.gurufocus.com/term/enterprise-value-to-ebitda/NVDA</t>
  </si>
  <si>
    <t xml:space="preserve">https://www.gurufocus.com/term/pb-ratio/NVDA</t>
  </si>
  <si>
    <t xml:space="preserve">https://www.gurufocus.com/term/enterprise-value-to-revenue/NVDA</t>
  </si>
  <si>
    <t xml:space="preserve">https://tradingeconomics.com/south-korea/currency</t>
  </si>
  <si>
    <t xml:space="preserve">https://www.investing.com/currencies/usd-jpy-historical-data</t>
  </si>
  <si>
    <t xml:space="preserve">https://fred.stlouisfed.org/series/dgs10</t>
  </si>
  <si>
    <t xml:space="preserve">https://www.investing.com/rates-bonds/u.s.-10-year-bond-yield-historical-data</t>
  </si>
  <si>
    <t xml:space="preserve">https://pages.stern.nyu.edu/~adamodar/New_Home_Page/home.htm</t>
  </si>
  <si>
    <t xml:space="preserve">https://finance.yahoo.com/quote/MU/</t>
  </si>
  <si>
    <t xml:space="preserve">https://public.com/bonds/corporate/micron-technology-inc/mu-5.875-09-15-2033-595112cb7</t>
  </si>
  <si>
    <t xml:space="preserve">https://www.tradingview.com/symbols/NASDAQ-MU/bonds/</t>
  </si>
  <si>
    <t xml:space="preserve">https://www.investing.com/news/company-news/micron-launches-tender-offer-for-54-billion-in-senior-notes-93CH-4579839</t>
  </si>
  <si>
    <t xml:space="preserve">https://www.trendforce.com/presscenter/news/20260930-13258.html</t>
  </si>
  <si>
    <t xml:space="preserve">https://www.trendforce.com/research/download/RP260924PL</t>
  </si>
  <si>
    <t xml:space="preserve">https://www.trendforce.com/research/download/RP260923EN</t>
  </si>
  <si>
    <t xml:space="preserve">https://www.trendforce.com/news/2026/10/06/news-nanya-dram-asp-seen-rising-10-in-4q26-winbond-also-sees-further-price-gains-as-memory-supply-stays-tight/</t>
  </si>
  <si>
    <t xml:space="preserve">https://www.trendforce.com/presscenter/news/20260929-13255.html</t>
  </si>
  <si>
    <t xml:space="preserve">https://www.trendforce.com/presscenter/news/20260602-13074.html</t>
  </si>
  <si>
    <t xml:space="preserve">https://www.trendforce.com/presscenter/news/20260730-13158.html</t>
  </si>
  <si>
    <t xml:space="preserve">https://www.trendforce.com/presscenter/news/20260721-13148.html</t>
  </si>
  <si>
    <t xml:space="preserve">https://www.trendforce.com/presscenter/news/20260804-13166.html</t>
  </si>
  <si>
    <t xml:space="preserve">https://www.trendforce.com/presscenter/news/20260825-13198.html</t>
  </si>
  <si>
    <t xml:space="preserve">https://www.trendforce.com/presscenter/news/20260703-13134.html</t>
  </si>
  <si>
    <t xml:space="preserve">https://www.trendforce.com/presscenter/news/20260709-13140.html</t>
  </si>
  <si>
    <t xml:space="preserve">https://www.trendforce.com/presscenter/news/20260331-12995.html</t>
  </si>
  <si>
    <t xml:space="preserve">https://www.trendforce.com/presscenter/news/20260202-12911.html</t>
  </si>
  <si>
    <t xml:space="preserve">https://www.trendforce.com/presscenter/news/20260907-13219.html</t>
  </si>
  <si>
    <t xml:space="preserve">https://www.trendforce.com/presscenter/news/20260601-13070.html</t>
  </si>
  <si>
    <t xml:space="preserve">https://www.trendforce.com/presscenter/news/20260818-13186.html</t>
  </si>
  <si>
    <t xml:space="preserve">https://www.trendforce.com/presscenter/news/20260921-13246.html</t>
  </si>
  <si>
    <t xml:space="preserve">https://www.trendforce.com/news/2026/09/16/insights-memory-spot-price-update-dram-spot-cools-as-ddr5-inquiries-slow-2gx8-ddr4-prices-retreat</t>
  </si>
  <si>
    <t xml:space="preserve">https://www.trendforce.com/price/dram/dram_spot</t>
  </si>
  <si>
    <t xml:space="preserve">https://www.trendforce.com/news/2026/07/08/news-memory-rally-extends-as-taiwan-module-maker-adata-reportedly-sees-q3-dram-prices-up-20-30-nand-up-35-40/</t>
  </si>
  <si>
    <t xml:space="preserve">https://siliconanalysts.com/analysis/dram-spot-price-signals-2026</t>
  </si>
  <si>
    <t xml:space="preserve">https://www.benzinga.com/markets/earnings/26/10/62098162/micron-75-percent-output-committed-mu-stock-analyst-explains</t>
  </si>
  <si>
    <t xml:space="preserve">https://fool.com/investing/2026/10/07/is-micron-a-buy-after-its-latest-explosive-earnings-report-here-are-the-bull-and-bear-cases</t>
  </si>
  <si>
    <t xml:space="preserve">https://www.gurufocus.com/news/9104138/micron-technology-mu-plans-25-billion-capex-in-h1-fy2027-amid-rising-demand</t>
  </si>
  <si>
    <t xml:space="preserve">https://www.fool.com/investing/2026/09/27/micron-guided-to-an-86-gross-margin-no-memory-maker-has-ever-held-a-number-like-that-for-long/</t>
  </si>
  <si>
    <t xml:space="preserve">https://www.investing.com/news/company-news/micron-q3-2026-slides-record-margins-100b-customer-agreements-93CH-4759276</t>
  </si>
  <si>
    <t xml:space="preserve">https://www.fool.com/investing/2026/08/24/micron-s-customers-are-putting-up-usd22-billion-and-its-ceo-says-data-centers-want-50-more-memory-than-it-can-ship/</t>
  </si>
  <si>
    <t xml:space="preserve">https://www.investing.com/news/stock-market-news/moodys-upgrades-micron-rating-on-customer-agreements-ai-demand-93CH-4825934</t>
  </si>
  <si>
    <t xml:space="preserve">https://finance.yahoo.com/markets/stocks/articles/mu-stock-drops-hours-micron-222532422.html</t>
  </si>
  <si>
    <t xml:space="preserve">https://www.astutegroup.com/news/general/sk-hynix-holds-62-of-hbm-micron-overtakes-samsung-2026-battle-pivots-to-hbm4/</t>
  </si>
  <si>
    <t xml:space="preserve">https://financefeeds.com/micron-mu-stock-1486-bull-case-740-bear-case/</t>
  </si>
  <si>
    <t xml:space="preserve">https://247wallst.com/investing/2026/09/21/micron-walks-into-the-biggest-earnings-setup-of-the-ai-memory-cycle/</t>
  </si>
  <si>
    <t xml:space="preserve">https://asia.nikkei.com/business/markets/equities/kioxia-sell-date-looms-for-retail-investors-who-joined-boom-on-margin</t>
  </si>
  <si>
    <t xml:space="preserve">https://aswathdamodaran.substack.com/p/country-risk-determinants-measures</t>
  </si>
  <si>
    <t xml:space="preserve">https://cbonds.com/news/1170977/</t>
  </si>
  <si>
    <t xml:space="preserve">https://cbonds.com/news/2885165/</t>
  </si>
  <si>
    <t xml:space="preserve">https://companiesmarketcap.com/sandisk/marketcap/</t>
  </si>
  <si>
    <t xml:space="preserve">https://en.sedaily.com/finance/2026/09/30/hbm-prices-to-more-than-double-next-year-trendforce-says</t>
  </si>
  <si>
    <t xml:space="preserve">https://finance.yahoo.com/markets/stocks/articles/micron-technology-q4-earnings-call-230239520.html</t>
  </si>
  <si>
    <t xml:space="preserve">https://finance.yahoo.com/quote/SNDK/key-statistics/</t>
  </si>
  <si>
    <t xml:space="preserve">https://multiples.vc/public-comps/samsung-valuation-multiples</t>
  </si>
  <si>
    <t xml:space="preserve">https://pages.stern.nyu.edu/~adamodar/New_Home_Page/datafile/histimpl.html</t>
  </si>
  <si>
    <t xml:space="preserve">https://public.com/bonds/corporate/micron-technology-inc/mu-3.366-11-01-2041-595112bt9</t>
  </si>
  <si>
    <t xml:space="preserve">https://quartr.com/companies/micron-technology-inc_5199</t>
  </si>
  <si>
    <t xml:space="preserve">https://stockanalysis.com/quote/tyo/285A/market-cap/</t>
  </si>
  <si>
    <t xml:space="preserve">https://tradingeconomics.com/united-states/government-bond-yield</t>
  </si>
  <si>
    <t xml:space="preserve">https://www.alphaspread.com/security/krx/005930/relative-valuation/ratio/enterprise-value-to-revenue</t>
  </si>
  <si>
    <t xml:space="preserve">https://www.bloomberg.com/news/articles/2026-10-06/nvidia-heads-for-6-trillion-value-with-chipmaker-back-at-record</t>
  </si>
  <si>
    <t xml:space="preserve">https://www.chartloom.com/c/ticker/SNDK/valuation/forward-pe-ratio</t>
  </si>
  <si>
    <t xml:space="preserve">https://www.cnbc.com/2026/10/06/treasury-yields-fed-fomc-minutes.html</t>
  </si>
  <si>
    <t xml:space="preserve">https://www.fxempire.com/forecasts/article/nasdaq-index-micron-slides-as-10-year-yield-surge-snuffs-out-techs-october-bid-1634479</t>
  </si>
  <si>
    <t xml:space="preserve">https://www.g-enews.com/article/Global-Biz/2026/09/202609241754242074fbbec65dfb_1</t>
  </si>
  <si>
    <t xml:space="preserve">https://www.gurufocus.com/news/9105106/microns-gross-margin-hits-868-on-aidriven-demand</t>
  </si>
  <si>
    <t xml:space="preserve">https://www.investing.com/news/earnings/micron-beats-q4-estimates-on-aifueled-demand-gives-strong-fiscal-2027-outlook-4925841</t>
  </si>
  <si>
    <t xml:space="preserve">https://www.investing.com/pro/NASDAQGS:MU/explorer/beta</t>
  </si>
  <si>
    <t xml:space="preserve">https://www.koreatimes.co.kr/business/companies/20260601/samsung-electronics-market-cap-surpasses-132-tril</t>
  </si>
  <si>
    <t xml:space="preserve">https://www.macrotrends.net/3042/us-corporate-bond-spread</t>
  </si>
  <si>
    <t xml:space="preserve">https://www.marketbeat.com/stocks/NASDAQ/MU/earnings/</t>
  </si>
  <si>
    <t xml:space="preserve">https://www.msn.com/en-us/money/stockdetails/285a-jp-stock/fi-cf9ejc?ocid=abusinv3p</t>
  </si>
  <si>
    <t xml:space="preserve">https://www.tradingview.com/symbols/NASDAQ-MU/</t>
  </si>
  <si>
    <t xml:space="preserve">https://www.trefis.com/data/companies/WDC</t>
  </si>
  <si>
    <t xml:space="preserve">https://www.trendforce.com/news/2026/03/19/news-micron-ramps-fy26-capex-to-25b-signs-first-5-year-customer-deal/</t>
  </si>
  <si>
    <t xml:space="preserve">https://www.xe.com/en-us/currencyconverter/convert/?Amount=1&amp;From=USD&amp;To=KRW</t>
  </si>
  <si>
    <t xml:space="preserve">Setor e ciclo (sector_cycle.json) - 70 URLs</t>
  </si>
  <si>
    <t xml:space="preserve">https://www.sec.gov/Archives/edgar/data/0000723125/000072312514000195/a2014q4.htm</t>
  </si>
  <si>
    <t xml:space="preserve">https://www.sec.gov/Archives/edgar/data/0000723125/000072312517000131/a2017q4.htm</t>
  </si>
  <si>
    <t xml:space="preserve">https://www.sec.gov/Archives/edgar/data/0000723125/000072312515000112/a2015q4.htm</t>
  </si>
  <si>
    <t xml:space="preserve">https://www.sec.gov/Archives/edgar/data/0000723125/000072312513000228/a2013q4.htm</t>
  </si>
  <si>
    <t xml:space="preserve">https://www.sec.gov/Archives/edgar/data/723125/000072312514000145/a2014q4exhibit991-pressrel.htm</t>
  </si>
  <si>
    <t xml:space="preserve">https://www.sec.gov/Archives/edgar/data/0000723125/000072312517000131/Financial_Report.xlsx</t>
  </si>
  <si>
    <t xml:space="preserve">https://www.sec.gov/Archives/edgar/data/0000723125/000072312515000077/a2015q4exhibit991-pressrel.htm</t>
  </si>
  <si>
    <t xml:space="preserve">https://www.sec.gov/Archives/edgar/data/0000723125/000072312516000269/a2016q4.htm</t>
  </si>
  <si>
    <t xml:space="preserve">https://www.sec.gov/Archives/edgar/data/0000723125/000072312518000092/a2018q4.htm</t>
  </si>
  <si>
    <t xml:space="preserve">https://www.sec.gov/Archives/edgar/data/0000723125/000072312516000225/a2016q4exhibit991-pressrel.htm</t>
  </si>
  <si>
    <t xml:space="preserve">https://www.sec.gov/Archives/edgar/data/0000723125/000072312517000106/a2017q4exhibit991-pressrel.htm</t>
  </si>
  <si>
    <t xml:space="preserve">https://www.sec.gov/Archives/edgar/data/723125/000072312520000082/mu-20200903.htm</t>
  </si>
  <si>
    <t xml:space="preserve">https://www.sec.gov/Archives/edgar/data/723125/000072312519000094/a2019q4.htm</t>
  </si>
  <si>
    <t xml:space="preserve">https://www.sec.gov/Archives/edgar/data/723125/000072312519000068/a2019q4exhibit991-pressrel.htm</t>
  </si>
  <si>
    <t xml:space="preserve">https://www.forbes.com/sites/greatspeculations/2019/10/30/after-growing-almost-1.5x-yoy-in-2018-why-did-microns-revenue-drop-23-in-2019/</t>
  </si>
  <si>
    <t xml:space="preserve">https://www.sec.gov/Archives/edgar/data/723125/000072312520000079/a2020q4exhibit991-pres.htm</t>
  </si>
  <si>
    <t xml:space="preserve">https://www.sec.gov/Archives/edgar/data/723125/000072312521000065/mu-20210902.htm</t>
  </si>
  <si>
    <t xml:space="preserve">https://www.sec.gov/Archives/edgar/data/723125/000072312521000060/a2021q4ex991-pressrelease.htm</t>
  </si>
  <si>
    <t xml:space="preserve">https://www.macrotrends.net/stocks/charts/MU/micron-technology/free-cash-flow</t>
  </si>
  <si>
    <t xml:space="preserve">https://www.commerce.gov/news/press-releases/2025/06/president-trump-secures-200b-investment-micron-technology-memory-chip</t>
  </si>
  <si>
    <t xml:space="preserve">https://www.sec.gov/Archives/edgar/data/723125/000110465925058741/tm2517778d1_ex99-1.htm</t>
  </si>
  <si>
    <t xml:space="preserve">https://www.congress.gov/crs-product/R49031</t>
  </si>
  <si>
    <t xml:space="preserve">https://investors.micron.com/news-releases/news-release-details/micron-breaks-ground-new-hbm-advanced-packaging-facility</t>
  </si>
  <si>
    <t xml:space="preserve">https://investors.micron.com/news/press-release/2026/Micron-Breaks-Ground-on-Advanced-Wafer-Fabrication-Facility-in-Singapore-01-26-2026/default.aspx</t>
  </si>
  <si>
    <t xml:space="preserve">https://www.cnbc.com/2026/01/27/micron-24-billion-singapore-nand-dram-expansion-ai-memory-shortages.html</t>
  </si>
  <si>
    <t xml:space="preserve">https://www.trendforce.com/news/2026/07/06/news-micron-breaks-ground-on-hiroshima-fab-expansion-scaling-1%CE%B3-dram-and-hbm-output-as-equipment-set-for-2h28/</t>
  </si>
  <si>
    <t xml:space="preserve">https://www.globenewswire.com/news-release/2023/05/18/2671578/0/en/Micron-to-Bring-EUV-Technology-to-Japan-Advancing-Next-Generation-Memory-Manufacturing.html</t>
  </si>
  <si>
    <t xml:space="preserve">https://www.tomshardware.com/tech-industry/semiconductors/microns-plans-for-an-additional-dram-fab-in-hiroshima-delayed-until-2027</t>
  </si>
  <si>
    <t xml:space="preserve">https://investors.micron.com/news/press-release/2026/Micron-Celebrates-Opening-of-Indias-First-Semiconductor-Assembly-and-Test-Facility-02-28-2026/default.aspx</t>
  </si>
  <si>
    <t xml:space="preserve">https://www.trendforce.com/news/2026/03/04/news-inside-look-at-microns-newly-opened-sanand-plant-10-of-global-output-key-products-and-clients/</t>
  </si>
  <si>
    <t xml:space="preserve">https://counterpointresearch.com/en/insights/ai-demand-reshapes-dram-rankings-in-q2-2026</t>
  </si>
  <si>
    <t xml:space="preserve">https://counterpointresearch.com/insights/global-dram-and-hbm-market-share</t>
  </si>
  <si>
    <t xml:space="preserve">https://evertiq.com/news/2026-09-07-dram-industry-revenue-surges-595-in-q2-as-supply-lags-demand</t>
  </si>
  <si>
    <t xml:space="preserve">https://x.com/trendforce/status/2081658369522208891</t>
  </si>
  <si>
    <t xml:space="preserve">https://www.trendforce.com/news/2026/08/10/news-samsungs-hbm4-yield-reportedly-hits-80-as-race-to-supply-vera-rubin-heats-up-sk-hynix-labor-talks-add-a-twist/</t>
  </si>
  <si>
    <t xml:space="preserve">https://www.trendforce.com/news/2026/03/09/news-samsung-sk%E2%80%AFhynix-reportedly-tapped-as-nvidia-rubin-hbm4-suppliers-shipments-could-start-in-march/</t>
  </si>
  <si>
    <t xml:space="preserve">https://presenc.ai/research/hbm-market-share-samsung-skhynix-micron-2026</t>
  </si>
  <si>
    <t xml:space="preserve">https://news.skhynix.com/en/fab-facility-investment-2026/</t>
  </si>
  <si>
    <t xml:space="preserve">https://www.cnbc.com/2026/08/07/sk-hynix-memory-chips-ai-prices.html</t>
  </si>
  <si>
    <t xml:space="preserve">https://www.koreaherald.com/article/10682456</t>
  </si>
  <si>
    <t xml:space="preserve">https://www.digitimes.com/news/a20260729VL211/sk-hynix-expansion-capex-2026-production.html</t>
  </si>
  <si>
    <t xml:space="preserve">https://www.sec.gov/Archives/edgar/data/0002120882/000119312526299963/d32785d424b4.htm</t>
  </si>
  <si>
    <t xml:space="preserve">https://www.bloomberg.com/news/articles/2026-03-19/samsung-to-spend-73-billion-on-chip-expansion-research-in-2026</t>
  </si>
  <si>
    <t xml:space="preserve">https://en.sedaily.com/finance/2026/08/14/samsung-tops-55-trillion-won-in-h1-rd-capex-on-ai-chip-push</t>
  </si>
  <si>
    <t xml:space="preserve">https://finance.biggo.com/news/e0c8a92f-7103-4ea6-acc6-7153bd51f00a</t>
  </si>
  <si>
    <t xml:space="preserve">https://www.techpowerup.com/352285/cxmt-captures-10-of-the-global-dram-market-revenue-share</t>
  </si>
  <si>
    <t xml:space="preserve">https://newsletter.semianalysis.com/p/chinas-cxmt-is-set-to-challenge-dram</t>
  </si>
  <si>
    <t xml:space="preserve">https://www.trendforce.com/news/2026/08/04/news-cxmt-reportedly-eyes-second-beijing-12-inch-dram-fab-hp-asus-and-acer-said-to-begin-limited-use/</t>
  </si>
  <si>
    <t xml:space="preserve">https://www.trendforce.com/news/2026/07/27/news-cxmts-471-star-debut-makes-it-chinas-top-listed-firm-reshaping-global-memory-dynamics/</t>
  </si>
  <si>
    <t xml:space="preserve">https://www.tomshardware.com/pc-components/dram/chinese-semiconductor-industry-gears-up-for-domestic-hbm3-production-by-the-end-of-2026-cxmt-to-produce-chips-while-naura-maxwell-and-u-preseason-design-tools-for-assembly</t>
  </si>
  <si>
    <t xml:space="preserve">https://www.digitimes.com/news/a20260421PD230/cxmt-hbm3-dram-production-2026.html</t>
  </si>
  <si>
    <t xml:space="preserve">https://counterpointresearch.com/en/insights/nand-revenues-record-high-q1-2026-from-ai-demand</t>
  </si>
  <si>
    <t xml:space="preserve">https://www.tomshardware.com/tech-industry/ymtc-breaks-into-the-top-three-nand-makers-for-the-first-time</t>
  </si>
  <si>
    <t xml:space="preserve">https://www.trendforce.com/presscenter/news/20251113-12780.html</t>
  </si>
  <si>
    <t xml:space="preserve">https://www.prnewswire.com/news-releases/diverging-memory-market-outlook-in-2027-as-dram-supply-remains-tight-while-nand-flash-supply-conditions-ease-says-trendforce-302838972.html</t>
  </si>
  <si>
    <t xml:space="preserve">https://siliconanalysts.com/market-data/semiconductor-capex</t>
  </si>
  <si>
    <t xml:space="preserve">https://seekingalpha.com/news/4532757-micron-forecasts-100b-hbm-market-by-2028-as-supply-tightness-persists-through-2026</t>
  </si>
  <si>
    <t xml:space="preserve">https://investors.micron.com/static-files/e089f8c0-065d-47b8-9d02-bfa863cdb357</t>
  </si>
  <si>
    <t xml:space="preserve">https://investors.micron.com/static-files/088991c5-a249-4f66-a0a6-258d9b66f3f9</t>
  </si>
  <si>
    <t xml:space="preserve">https://www.micron.com/products/memory/hbm/hbm4</t>
  </si>
  <si>
    <t xml:space="preserve">https://www.tomshardware.com/micron-hands-tsmc-the-keys-to-hbm4e</t>
  </si>
  <si>
    <t xml:space="preserve">https://www.trendforce.com/news/2025/09/24/news-micron-counters-hbm4-speed-doubts-with-11-gbps-custom-hbm4e-due-2027-with-higher-margins/</t>
  </si>
  <si>
    <t xml:space="preserve">https://www.benzinga.com/markets/tech/26/09/62031127/micron-shortages-persist-2028-jpmorgan-multi-year-pricing-power</t>
  </si>
  <si>
    <t xml:space="preserve">https://www.storagereview.com/news/micron-exits-crucial-consumer-business-to-focus-on-higher-growth-segments</t>
  </si>
  <si>
    <t xml:space="preserve">https://www.storagenewsletter.com/2025/12/05/micron-announces-exit-from-crucial-consumer-business/</t>
  </si>
  <si>
    <t xml:space="preserve">https://www.tipranks.com/news/the-fly/micron-says-nand-demand-significantly-in-excess-of-supply-thefly-news</t>
  </si>
  <si>
    <t xml:space="preserve">https://www.cnbc.com/2026/10/01/you-think-nvidias-235-billion-buyback-is-big-just-wait-and-see-what-micron-might-do.html</t>
  </si>
  <si>
    <t xml:space="preserve">https://investors.micron.com/static-files/21b50828-dd30-429f-9502-b1ebc452c6e3</t>
  </si>
  <si>
    <t xml:space="preserve">https://www.sec.gov/Archives/edgar/data/0000723125/000110465917061554/a17-18241_3ex99d4.htm</t>
  </si>
  <si>
    <t xml:space="preserve">https://www.fabricatedknowledge.com/p/micron-and-stmicroelectronics-investor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</si>
</sst>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0"/>
    <numFmt numFmtId="166" formatCode="0.0%;\(0.0%\);\-"/>
    <numFmt numFmtId="167" formatCode="#,##0.0;\(#,##0.0\);\-"/>
    <numFmt numFmtId="168" formatCode="#,##0;\(#,##0\);\-"/>
    <numFmt numFmtId="169" formatCode="0.00;\(0.00\);\-"/>
    <numFmt numFmtId="170" formatCode="0.0\x"/>
    <numFmt numFmtId="171" formatCode="0.00%;\(0.00%\);\-"/>
    <numFmt numFmtId="172" formatCode="0;\(0\);\-"/>
    <numFmt numFmtId="173" formatCode="0.00\x"/>
    <numFmt numFmtId="174" formatCode="0.00"/>
    <numFmt numFmtId="175" formatCode="0"/>
    <numFmt numFmtId="176" formatCode="0.0"/>
    <numFmt numFmtId="177" formatCode="0.000"/>
  </numFmts>
  <fonts count="15">
    <font>
      <sz val="9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08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10"/>
      <name val="Arial"/>
      <family val="2"/>
    </font>
    <font>
      <b val="true"/>
      <i val="true"/>
      <sz val="9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F2F2F2"/>
      </patternFill>
    </fill>
    <fill>
      <patternFill patternType="solid">
        <fgColor rgb="FFF2F2F2"/>
        <bgColor rgb="FFDCE6F1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8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53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3" ySplit="17" topLeftCell="D18" activePane="bottomRight" state="frozen"/>
      <selection pane="topLeft" activeCell="A1" activeCellId="0" sqref="A1"/>
      <selection pane="topRight" activeCell="D1" activeCellId="0" sqref="D1"/>
      <selection pane="bottomLeft" activeCell="A18" activeCellId="0" sqref="A18"/>
      <selection pane="bottomRight" activeCell="A1" activeCellId="0" sqref="A1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9" min="4" style="0" width="11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D5" s="5" t="n">
        <f aca="false">Premissas!$I$203</f>
        <v>1045.56</v>
      </c>
    </row>
    <row r="6" customFormat="false" ht="15" hidden="false" customHeight="false" outlineLevel="0" collapsed="false">
      <c r="B6" s="4" t="s">
        <v>4</v>
      </c>
      <c r="D6" s="6" t="str">
        <f aca="false">Premissas!$I$204</f>
        <v>06/10/26</v>
      </c>
    </row>
    <row r="7" customFormat="false" ht="15" hidden="false" customHeight="false" outlineLevel="0" collapsed="false">
      <c r="B7" s="7" t="s">
        <v>5</v>
      </c>
      <c r="D7" s="8" t="n">
        <f aca="false">DCF!I36</f>
        <v>997.236672680188</v>
      </c>
    </row>
    <row r="8" customFormat="false" ht="15" hidden="false" customHeight="false" outlineLevel="0" collapsed="false">
      <c r="B8" s="7" t="s">
        <v>6</v>
      </c>
      <c r="D8" s="9" t="n">
        <f aca="false">DCF!I38</f>
        <v>-0.0462176511341407</v>
      </c>
    </row>
    <row r="9" customFormat="false" ht="15" hidden="false" customHeight="false" outlineLevel="0" collapsed="false">
      <c r="B9" s="4" t="s">
        <v>7</v>
      </c>
      <c r="D9" s="10" t="n">
        <f aca="false">Multiplos!$D$7/1000</f>
        <v>1180.8450084</v>
      </c>
    </row>
    <row r="10" customFormat="false" ht="15" hidden="false" customHeight="false" outlineLevel="0" collapsed="false">
      <c r="B10" s="4" t="s">
        <v>8</v>
      </c>
      <c r="D10" s="10" t="n">
        <f aca="false">Multiplos!$D$10/1000</f>
        <v>1112.5710084</v>
      </c>
    </row>
    <row r="11" customFormat="false" ht="15" hidden="false" customHeight="false" outlineLevel="0" collapsed="false">
      <c r="B11" s="4" t="s">
        <v>9</v>
      </c>
      <c r="D11" s="10" t="n">
        <f aca="false">Multiplos!$D$11/1000</f>
        <v>68.274</v>
      </c>
    </row>
    <row r="12" customFormat="false" ht="15" hidden="false" customHeight="false" outlineLevel="0" collapsed="false">
      <c r="B12" s="4" t="s">
        <v>10</v>
      </c>
      <c r="D12" s="6" t="str">
        <f aca="false">Premissas!$E$4</f>
        <v>Base</v>
      </c>
    </row>
    <row r="13" customFormat="false" ht="15" hidden="false" customHeight="false" outlineLevel="0" collapsed="false">
      <c r="B13" s="4" t="s">
        <v>11</v>
      </c>
      <c r="D13" s="11" t="s">
        <v>12</v>
      </c>
    </row>
    <row r="14" customFormat="false" ht="15" hidden="false" customHeight="false" outlineLevel="0" collapsed="false">
      <c r="B14" s="4" t="s">
        <v>13</v>
      </c>
      <c r="D14" s="11" t="s">
        <v>14</v>
      </c>
    </row>
    <row r="15" customFormat="false" ht="15" hidden="false" customHeight="false" outlineLevel="0" collapsed="false">
      <c r="B15" s="7" t="s">
        <v>15</v>
      </c>
      <c r="D15" s="7" t="str">
        <f aca="false">IF(AND(BP!$D$31="ok",FC!$D$41="ok",Operacional!$D$51="ok",DCF!D70="ok",DCF!D80="ok"),"Checks: ok","Checks: ERRO")</f>
        <v>Checks: ok</v>
      </c>
    </row>
    <row r="17" customFormat="false" ht="15" hidden="false" customHeight="false" outlineLevel="0" collapsed="false">
      <c r="B17" s="12" t="s">
        <v>16</v>
      </c>
      <c r="C17" s="13"/>
      <c r="D17" s="14" t="s">
        <v>17</v>
      </c>
      <c r="E17" s="14" t="s">
        <v>18</v>
      </c>
      <c r="F17" s="14" t="s">
        <v>19</v>
      </c>
      <c r="G17" s="14" t="s">
        <v>20</v>
      </c>
      <c r="H17" s="14" t="s">
        <v>21</v>
      </c>
      <c r="I17" s="14" t="s">
        <v>22</v>
      </c>
    </row>
    <row r="18" customFormat="false" ht="15" hidden="false" customHeight="false" outlineLevel="0" collapsed="false">
      <c r="B18" s="7" t="s">
        <v>23</v>
      </c>
      <c r="D18" s="15" t="n">
        <f aca="false">DRE!F5</f>
        <v>25111</v>
      </c>
      <c r="E18" s="15" t="n">
        <f aca="false">DRE!G5</f>
        <v>37378</v>
      </c>
      <c r="F18" s="15" t="n">
        <f aca="false">DRE!H5</f>
        <v>133188</v>
      </c>
      <c r="G18" s="15" t="n">
        <f aca="false">DRE!I5</f>
        <v>272846.642</v>
      </c>
      <c r="H18" s="15" t="n">
        <f aca="false">DRE!J5</f>
        <v>300523.2852776</v>
      </c>
      <c r="I18" s="15" t="n">
        <f aca="false">DRE!K5</f>
        <v>213415.16915122</v>
      </c>
    </row>
    <row r="19" customFormat="false" ht="15" hidden="false" customHeight="false" outlineLevel="0" collapsed="false">
      <c r="B19" s="2" t="s">
        <v>24</v>
      </c>
      <c r="D19" s="16" t="n">
        <f aca="false">DRE!F6</f>
        <v>0.615894465894466</v>
      </c>
      <c r="E19" s="16" t="n">
        <f aca="false">DRE!G6</f>
        <v>0.488511011110669</v>
      </c>
      <c r="F19" s="16" t="n">
        <f aca="false">DRE!H6</f>
        <v>2.56327251324308</v>
      </c>
      <c r="G19" s="16" t="n">
        <f aca="false">DRE!I6</f>
        <v>1.04858277021954</v>
      </c>
      <c r="H19" s="16" t="n">
        <f aca="false">DRE!J6</f>
        <v>0.101436627824065</v>
      </c>
      <c r="I19" s="16" t="n">
        <f aca="false">DRE!K6</f>
        <v>-0.28985479792661</v>
      </c>
    </row>
    <row r="20" customFormat="false" ht="15" hidden="false" customHeight="false" outlineLevel="0" collapsed="false">
      <c r="B20" s="4" t="s">
        <v>25</v>
      </c>
      <c r="D20" s="17" t="n">
        <f aca="false">DRE!F9</f>
        <v>0.223527537732468</v>
      </c>
      <c r="E20" s="17" t="n">
        <f aca="false">DRE!G9</f>
        <v>0.397907860238643</v>
      </c>
      <c r="F20" s="17" t="n">
        <f aca="false">DRE!H9</f>
        <v>0.807159804186563</v>
      </c>
      <c r="G20" s="17" t="n">
        <f aca="false">DRE!I9</f>
        <v>0.868065076600796</v>
      </c>
      <c r="H20" s="17" t="n">
        <f aca="false">DRE!J9</f>
        <v>0.861680517544714</v>
      </c>
      <c r="I20" s="17" t="n">
        <f aca="false">DRE!K9</f>
        <v>0.769630044578154</v>
      </c>
    </row>
    <row r="21" customFormat="false" ht="15" hidden="false" customHeight="false" outlineLevel="0" collapsed="false">
      <c r="B21" s="4" t="s">
        <v>26</v>
      </c>
      <c r="D21" s="18" t="n">
        <f aca="false">DRE!F16</f>
        <v>9084</v>
      </c>
      <c r="E21" s="18" t="n">
        <f aca="false">DRE!G16</f>
        <v>18122</v>
      </c>
      <c r="F21" s="18" t="n">
        <f aca="false">DRE!H16</f>
        <v>108843</v>
      </c>
      <c r="G21" s="18" t="n">
        <f aca="false">DRE!I16</f>
        <v>239428.961188</v>
      </c>
      <c r="H21" s="18" t="n">
        <f aca="false">DRE!J16</f>
        <v>264842.99094224</v>
      </c>
      <c r="I21" s="18" t="n">
        <f aca="false">DRE!K16</f>
        <v>175963.247770508</v>
      </c>
    </row>
    <row r="22" customFormat="false" ht="15" hidden="false" customHeight="false" outlineLevel="0" collapsed="false">
      <c r="B22" s="2" t="s">
        <v>27</v>
      </c>
      <c r="D22" s="16" t="n">
        <f aca="false">DRE!F17</f>
        <v>0.361753813069969</v>
      </c>
      <c r="E22" s="16" t="n">
        <f aca="false">DRE!G17</f>
        <v>0.484830649044893</v>
      </c>
      <c r="F22" s="16" t="n">
        <f aca="false">DRE!H17</f>
        <v>0.817213262456077</v>
      </c>
      <c r="G22" s="16" t="n">
        <f aca="false">DRE!I17</f>
        <v>0.877522110710089</v>
      </c>
      <c r="H22" s="16" t="n">
        <f aca="false">DRE!J17</f>
        <v>0.881272779570471</v>
      </c>
      <c r="I22" s="16" t="n">
        <f aca="false">DRE!K17</f>
        <v>0.824511436887717</v>
      </c>
    </row>
    <row r="23" customFormat="false" ht="15" hidden="false" customHeight="false" outlineLevel="0" collapsed="false">
      <c r="B23" s="4" t="s">
        <v>28</v>
      </c>
      <c r="D23" s="18" t="n">
        <f aca="false">DRE!F13</f>
        <v>1304</v>
      </c>
      <c r="E23" s="18" t="n">
        <f aca="false">DRE!G13</f>
        <v>9770</v>
      </c>
      <c r="F23" s="18" t="n">
        <f aca="false">DRE!H13</f>
        <v>99340</v>
      </c>
      <c r="G23" s="18" t="n">
        <f aca="false">DRE!I13</f>
        <v>226956.891188</v>
      </c>
      <c r="H23" s="18" t="n">
        <f aca="false">DRE!J13</f>
        <v>247874.73249224</v>
      </c>
      <c r="I23" s="18" t="n">
        <f aca="false">DRE!K13</f>
        <v>152944.100322508</v>
      </c>
    </row>
    <row r="24" customFormat="false" ht="15" hidden="false" customHeight="false" outlineLevel="0" collapsed="false">
      <c r="B24" s="4" t="s">
        <v>29</v>
      </c>
      <c r="D24" s="18" t="n">
        <f aca="false">DRE!F26</f>
        <v>778</v>
      </c>
      <c r="E24" s="18" t="n">
        <f aca="false">DRE!G26</f>
        <v>8539</v>
      </c>
      <c r="F24" s="18" t="n">
        <f aca="false">DRE!H26</f>
        <v>84969</v>
      </c>
      <c r="G24" s="18" t="n">
        <f aca="false">DRE!I26</f>
        <v>194259.89147136</v>
      </c>
      <c r="H24" s="18" t="n">
        <f aca="false">DRE!J26</f>
        <v>213016.789100983</v>
      </c>
      <c r="I24" s="18" t="n">
        <f aca="false">DRE!K26</f>
        <v>134423.449524998</v>
      </c>
    </row>
    <row r="25" customFormat="false" ht="15" hidden="false" customHeight="false" outlineLevel="0" collapsed="false">
      <c r="B25" s="7" t="s">
        <v>30</v>
      </c>
      <c r="D25" s="19" t="n">
        <f aca="false">DRE!F39</f>
        <v>1.3</v>
      </c>
      <c r="E25" s="19" t="n">
        <f aca="false">DRE!G39</f>
        <v>8.29</v>
      </c>
      <c r="F25" s="19" t="n">
        <f aca="false">DRE!H39</f>
        <v>75.52</v>
      </c>
      <c r="G25" s="19" t="n">
        <f aca="false">DRE!I39</f>
        <v>175.755078550814</v>
      </c>
      <c r="H25" s="19" t="n">
        <f aca="false">DRE!J39</f>
        <v>212.042955121657</v>
      </c>
      <c r="I25" s="19" t="n">
        <f aca="false">DRE!K39</f>
        <v>153.778437612965</v>
      </c>
    </row>
    <row r="26" customFormat="false" ht="15" hidden="false" customHeight="false" outlineLevel="0" collapsed="false">
      <c r="B26" s="2" t="s">
        <v>31</v>
      </c>
      <c r="D26" s="16" t="str">
        <f aca="false">DRE!F40</f>
        <v>n.m.</v>
      </c>
      <c r="E26" s="16" t="n">
        <f aca="false">DRE!G40</f>
        <v>5.37692307692308</v>
      </c>
      <c r="F26" s="16" t="n">
        <f aca="false">DRE!H40</f>
        <v>8.10977080820265</v>
      </c>
      <c r="G26" s="16" t="n">
        <f aca="false">DRE!I40</f>
        <v>1.32726534098006</v>
      </c>
      <c r="H26" s="16" t="n">
        <f aca="false">DRE!J40</f>
        <v>0.20646843818144</v>
      </c>
      <c r="I26" s="16" t="n">
        <f aca="false">DRE!K40</f>
        <v>-0.274776954863995</v>
      </c>
    </row>
    <row r="27" customFormat="false" ht="15" hidden="false" customHeight="false" outlineLevel="0" collapsed="false">
      <c r="B27" s="4" t="s">
        <v>32</v>
      </c>
      <c r="D27" s="18" t="n">
        <f aca="false">FC!F23</f>
        <v>387</v>
      </c>
      <c r="E27" s="18" t="n">
        <f aca="false">FC!G23</f>
        <v>3725</v>
      </c>
      <c r="F27" s="18" t="n">
        <f aca="false">FC!H23</f>
        <v>62305</v>
      </c>
      <c r="G27" s="18" t="n">
        <f aca="false">FC!I23</f>
        <v>142703.036594223</v>
      </c>
      <c r="H27" s="18" t="n">
        <f aca="false">FC!J23</f>
        <v>173453.272970631</v>
      </c>
      <c r="I27" s="18" t="n">
        <f aca="false">FC!K23</f>
        <v>127996.862124626</v>
      </c>
    </row>
    <row r="28" customFormat="false" ht="15" hidden="false" customHeight="false" outlineLevel="0" collapsed="false">
      <c r="B28" s="4" t="s">
        <v>33</v>
      </c>
      <c r="D28" s="17" t="n">
        <f aca="false">FC!F43</f>
        <v>0.000327731410343488</v>
      </c>
      <c r="E28" s="17" t="n">
        <f aca="false">FC!G43</f>
        <v>0.00315452068095476</v>
      </c>
      <c r="F28" s="17" t="n">
        <f aca="false">FC!H43</f>
        <v>0.0527630633629225</v>
      </c>
      <c r="G28" s="17" t="n">
        <f aca="false">FC!I43</f>
        <v>0.120848236287657</v>
      </c>
      <c r="H28" s="17" t="n">
        <f aca="false">FC!J43</f>
        <v>0.146889110540979</v>
      </c>
      <c r="I28" s="17" t="n">
        <f aca="false">FC!K43</f>
        <v>0.108394294944818</v>
      </c>
    </row>
    <row r="29" customFormat="false" ht="15" hidden="false" customHeight="false" outlineLevel="0" collapsed="false">
      <c r="B29" s="4" t="s">
        <v>34</v>
      </c>
      <c r="D29" s="18" t="n">
        <f aca="false">BP!F33</f>
        <v>-4245</v>
      </c>
      <c r="E29" s="18" t="n">
        <f aca="false">BP!G33</f>
        <v>-2641</v>
      </c>
      <c r="F29" s="18" t="n">
        <f aca="false">BP!H33</f>
        <v>68274</v>
      </c>
      <c r="G29" s="18" t="n">
        <f aca="false">BP!I33</f>
        <v>125197.077994223</v>
      </c>
      <c r="H29" s="18" t="n">
        <f aca="false">BP!J33</f>
        <v>137735.537178506</v>
      </c>
      <c r="I29" s="18" t="n">
        <f aca="false">BP!K33</f>
        <v>144786.80548985</v>
      </c>
    </row>
    <row r="30" customFormat="false" ht="15" hidden="false" customHeight="false" outlineLevel="0" collapsed="false">
      <c r="B30" s="4" t="s">
        <v>35</v>
      </c>
      <c r="D30" s="20" t="str">
        <f aca="false">IF(Multiplos!$D$10/DRE!F16&gt;100,"n.m.",Multiplos!$D$10/DRE!F16)</f>
        <v>n.m.</v>
      </c>
      <c r="E30" s="20" t="n">
        <f aca="false">IF(Multiplos!$D$10/DRE!G16&gt;100,"n.m.",Multiplos!$D$10/DRE!G16)</f>
        <v>61.3933897141596</v>
      </c>
      <c r="F30" s="20" t="n">
        <f aca="false">IF(Multiplos!$D$10/DRE!H16&gt;100,"n.m.",Multiplos!$D$10/DRE!H16)</f>
        <v>10.2217966097958</v>
      </c>
      <c r="G30" s="20" t="n">
        <f aca="false">IF(Multiplos!$D$10/DRE!I16&gt;100,"n.m.",Multiplos!$D$10/DRE!I16)</f>
        <v>4.64676872371512</v>
      </c>
      <c r="H30" s="20" t="n">
        <f aca="false">IF(Multiplos!$D$10/DRE!J16&gt;100,"n.m.",Multiplos!$D$10/DRE!J16)</f>
        <v>4.20087012475494</v>
      </c>
      <c r="I30" s="20" t="n">
        <f aca="false">IF(Multiplos!$D$10/DRE!K16&gt;100,"n.m.",Multiplos!$D$10/DRE!K16)</f>
        <v>6.32274649676289</v>
      </c>
    </row>
    <row r="31" customFormat="false" ht="15" hidden="false" customHeight="false" outlineLevel="0" collapsed="false">
      <c r="B31" s="4" t="s">
        <v>36</v>
      </c>
      <c r="D31" s="20" t="str">
        <f aca="false">IF(Premissas!$I$203/DRE!F39&gt;100,"n.m.",Premissas!$I$203/DRE!F39)</f>
        <v>n.m.</v>
      </c>
      <c r="E31" s="20" t="str">
        <f aca="false">IF(Premissas!$I$203/DRE!G39&gt;100,"n.m.",Premissas!$I$203/DRE!G39)</f>
        <v>n.m.</v>
      </c>
      <c r="F31" s="20" t="n">
        <f aca="false">IF(Premissas!$I$203/DRE!H39&gt;100,"n.m.",Premissas!$I$203/DRE!H39)</f>
        <v>13.8448093220339</v>
      </c>
      <c r="G31" s="20" t="n">
        <f aca="false">IF(Premissas!$I$203/DRE!I39&gt;100,"n.m.",Premissas!$I$203/DRE!I39)</f>
        <v>5.94896038635783</v>
      </c>
      <c r="H31" s="20" t="n">
        <f aca="false">IF(Premissas!$I$203/DRE!J39&gt;100,"n.m.",Premissas!$I$203/DRE!J39)</f>
        <v>4.93088770339068</v>
      </c>
      <c r="I31" s="20" t="n">
        <f aca="false">IF(Premissas!$I$203/DRE!K39&gt;100,"n.m.",Premissas!$I$203/DRE!K39)</f>
        <v>6.79913267574938</v>
      </c>
    </row>
    <row r="32" customFormat="false" ht="15" hidden="false" customHeight="false" outlineLevel="0" collapsed="false">
      <c r="B32" s="4" t="s">
        <v>37</v>
      </c>
      <c r="D32" s="20" t="n">
        <f aca="false">Multiplos!$D$7/BP!F26</f>
        <v>26.1648314550974</v>
      </c>
      <c r="E32" s="20" t="n">
        <f aca="false">Multiplos!$D$7/BP!G26</f>
        <v>21.800886336195</v>
      </c>
      <c r="F32" s="20" t="n">
        <f aca="false">Multiplos!$D$7/BP!H26</f>
        <v>8.53347358973247</v>
      </c>
      <c r="G32" s="20" t="n">
        <f aca="false">Multiplos!$D$7/BP!I26</f>
        <v>4.74521345620922</v>
      </c>
      <c r="H32" s="20" t="n">
        <f aca="false">Multiplos!$D$7/BP!J26</f>
        <v>3.89414947580457</v>
      </c>
      <c r="I32" s="20" t="n">
        <f aca="false">Multiplos!$D$7/BP!K26</f>
        <v>3.69926768294898</v>
      </c>
    </row>
    <row r="33" customFormat="false" ht="15" hidden="false" customHeight="false" outlineLevel="0" collapsed="false">
      <c r="B33" s="4" t="s">
        <v>38</v>
      </c>
      <c r="D33" s="21" t="n">
        <f aca="false">DRE!F42/Premissas!$I$203</f>
        <v>0.000439955621867707</v>
      </c>
      <c r="E33" s="21" t="n">
        <f aca="false">DRE!G42/Premissas!$I$203</f>
        <v>0.000439955621867707</v>
      </c>
      <c r="F33" s="21" t="n">
        <f aca="false">DRE!H42/Premissas!$I$203</f>
        <v>0.000506905390412793</v>
      </c>
      <c r="G33" s="21" t="n">
        <f aca="false">DRE!I42/Premissas!$I$203</f>
        <v>0.000669115115344887</v>
      </c>
      <c r="H33" s="21" t="n">
        <f aca="false">DRE!J42/Premissas!$I$203</f>
        <v>0.000863158498794904</v>
      </c>
      <c r="I33" s="21" t="n">
        <f aca="false">DRE!K42/Premissas!$I$203</f>
        <v>0.00101852702857799</v>
      </c>
    </row>
    <row r="35" customFormat="false" ht="15" hidden="false" customHeight="false" outlineLevel="0" collapsed="false">
      <c r="B35" s="3" t="s">
        <v>39</v>
      </c>
    </row>
    <row r="36" customFormat="false" ht="15" hidden="false" customHeight="false" outlineLevel="0" collapsed="false">
      <c r="B36" s="22" t="s">
        <v>40</v>
      </c>
      <c r="C36" s="22"/>
      <c r="D36" s="14" t="s">
        <v>41</v>
      </c>
      <c r="E36" s="14" t="s">
        <v>6</v>
      </c>
      <c r="F36" s="14" t="s">
        <v>42</v>
      </c>
      <c r="G36" s="14" t="s">
        <v>43</v>
      </c>
      <c r="H36" s="14" t="s">
        <v>44</v>
      </c>
      <c r="I36" s="14" t="s">
        <v>45</v>
      </c>
    </row>
    <row r="37" customFormat="false" ht="15" hidden="false" customHeight="false" outlineLevel="0" collapsed="false">
      <c r="B37" s="7" t="s">
        <v>46</v>
      </c>
      <c r="D37" s="23" t="n">
        <v>997.236672680188</v>
      </c>
      <c r="E37" s="24" t="n">
        <v>-0.0462176511341407</v>
      </c>
      <c r="F37" s="25" t="n">
        <v>272846.642</v>
      </c>
      <c r="G37" s="26" t="n">
        <v>175.755078550814</v>
      </c>
      <c r="H37" s="24" t="n">
        <v>0.868065076600796</v>
      </c>
      <c r="I37" s="26" t="n">
        <v>212.042955121657</v>
      </c>
    </row>
    <row r="38" customFormat="false" ht="15" hidden="false" customHeight="false" outlineLevel="0" collapsed="false">
      <c r="B38" s="4" t="s">
        <v>47</v>
      </c>
      <c r="D38" s="23" t="n">
        <v>1592.61223374439</v>
      </c>
      <c r="E38" s="24" t="n">
        <v>0.523214577589412</v>
      </c>
      <c r="F38" s="25" t="n">
        <v>284750.179</v>
      </c>
      <c r="G38" s="26" t="n">
        <v>185.018195440827</v>
      </c>
      <c r="H38" s="24" t="n">
        <v>0.874497079197622</v>
      </c>
      <c r="I38" s="26" t="n">
        <v>260.091391028965</v>
      </c>
    </row>
    <row r="39" customFormat="false" ht="15" hidden="false" customHeight="false" outlineLevel="0" collapsed="false">
      <c r="B39" s="4" t="s">
        <v>48</v>
      </c>
      <c r="D39" s="23" t="n">
        <v>450.655010192605</v>
      </c>
      <c r="E39" s="24" t="n">
        <v>-0.568982162484597</v>
      </c>
      <c r="F39" s="25" t="n">
        <v>244804.9548</v>
      </c>
      <c r="G39" s="26" t="n">
        <v>154.269719536429</v>
      </c>
      <c r="H39" s="24" t="n">
        <v>0.853058688210015</v>
      </c>
      <c r="I39" s="26" t="n">
        <v>101.991957055571</v>
      </c>
    </row>
    <row r="40" customFormat="false" ht="15" hidden="false" customHeight="false" outlineLevel="0" collapsed="false">
      <c r="B40" s="2" t="s">
        <v>49</v>
      </c>
    </row>
    <row r="42" customFormat="false" ht="15" hidden="false" customHeight="false" outlineLevel="0" collapsed="false">
      <c r="B42" s="3" t="s">
        <v>50</v>
      </c>
    </row>
    <row r="43" customFormat="false" ht="15" hidden="false" customHeight="false" outlineLevel="0" collapsed="false">
      <c r="B43" s="4" t="s">
        <v>51</v>
      </c>
    </row>
    <row r="44" customFormat="false" ht="15" hidden="false" customHeight="false" outlineLevel="0" collapsed="false">
      <c r="B44" s="4" t="s">
        <v>52</v>
      </c>
    </row>
    <row r="45" customFormat="false" ht="15" hidden="false" customHeight="false" outlineLevel="0" collapsed="false">
      <c r="B45" s="4" t="s">
        <v>53</v>
      </c>
    </row>
    <row r="46" customFormat="false" ht="15" hidden="false" customHeight="false" outlineLevel="0" collapsed="false">
      <c r="B46" s="4" t="s">
        <v>54</v>
      </c>
    </row>
    <row r="47" customFormat="false" ht="15" hidden="false" customHeight="false" outlineLevel="0" collapsed="false">
      <c r="B47" s="4" t="s">
        <v>55</v>
      </c>
    </row>
    <row r="49" customFormat="false" ht="15" hidden="false" customHeight="false" outlineLevel="0" collapsed="false">
      <c r="B49" s="3" t="s">
        <v>56</v>
      </c>
    </row>
    <row r="50" customFormat="false" ht="15" hidden="false" customHeight="false" outlineLevel="0" collapsed="false">
      <c r="B50" s="4" t="s">
        <v>57</v>
      </c>
    </row>
    <row r="51" customFormat="false" ht="15" hidden="false" customHeight="false" outlineLevel="0" collapsed="false">
      <c r="B51" s="4" t="s">
        <v>58</v>
      </c>
    </row>
    <row r="52" customFormat="false" ht="15" hidden="false" customHeight="false" outlineLevel="0" collapsed="false">
      <c r="B52" s="4" t="s">
        <v>59</v>
      </c>
    </row>
    <row r="53" customFormat="false" ht="15" hidden="false" customHeight="false" outlineLevel="0" collapsed="false">
      <c r="B53" s="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21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13" min="4" style="0" width="10"/>
  </cols>
  <sheetData>
    <row r="1" customFormat="false" ht="15" hidden="false" customHeight="false" outlineLevel="0" collapsed="false">
      <c r="B1" s="1" t="s">
        <v>61</v>
      </c>
    </row>
    <row r="2" customFormat="false" ht="15" hidden="false" customHeight="false" outlineLevel="0" collapsed="false">
      <c r="B2" s="2" t="s">
        <v>62</v>
      </c>
    </row>
    <row r="4" customFormat="false" ht="15" hidden="false" customHeight="false" outlineLevel="0" collapsed="false">
      <c r="B4" s="7" t="s">
        <v>63</v>
      </c>
      <c r="C4" s="2" t="s">
        <v>64</v>
      </c>
      <c r="D4" s="27" t="n">
        <v>1</v>
      </c>
      <c r="E4" s="7" t="str">
        <f aca="false">CHOOSE($D$4,"Base","Bull","Bear")</f>
        <v>Base</v>
      </c>
    </row>
    <row r="6" customFormat="false" ht="15" hidden="false" customHeight="false" outlineLevel="0" collapsed="false">
      <c r="B6" s="12" t="s">
        <v>16</v>
      </c>
      <c r="C6" s="13"/>
      <c r="D6" s="14" t="s">
        <v>65</v>
      </c>
      <c r="E6" s="14" t="s">
        <v>66</v>
      </c>
      <c r="F6" s="14" t="s">
        <v>17</v>
      </c>
      <c r="G6" s="14" t="s">
        <v>18</v>
      </c>
      <c r="H6" s="14" t="s">
        <v>19</v>
      </c>
      <c r="I6" s="14" t="s">
        <v>20</v>
      </c>
      <c r="J6" s="14" t="s">
        <v>21</v>
      </c>
      <c r="K6" s="14" t="s">
        <v>22</v>
      </c>
      <c r="L6" s="14" t="s">
        <v>67</v>
      </c>
      <c r="M6" s="14" t="s">
        <v>68</v>
      </c>
    </row>
    <row r="7" customFormat="false" ht="15" hidden="false" customHeight="false" outlineLevel="0" collapsed="false">
      <c r="B7" s="7" t="s">
        <v>69</v>
      </c>
      <c r="C7" s="2" t="s">
        <v>70</v>
      </c>
    </row>
    <row r="8" customFormat="false" ht="15" hidden="false" customHeight="false" outlineLevel="0" collapsed="false">
      <c r="B8" s="4" t="s">
        <v>71</v>
      </c>
      <c r="I8" s="28" t="n">
        <v>0.15</v>
      </c>
      <c r="J8" s="28" t="n">
        <v>0.14</v>
      </c>
      <c r="K8" s="28" t="n">
        <v>0.11</v>
      </c>
      <c r="L8" s="28" t="n">
        <v>0.09</v>
      </c>
      <c r="M8" s="28" t="n">
        <v>0.16</v>
      </c>
    </row>
    <row r="9" customFormat="false" ht="15" hidden="false" customHeight="false" outlineLevel="0" collapsed="false">
      <c r="B9" s="4" t="s">
        <v>72</v>
      </c>
      <c r="I9" s="28" t="n">
        <v>0.17</v>
      </c>
      <c r="J9" s="28" t="n">
        <v>0.19</v>
      </c>
      <c r="K9" s="28" t="n">
        <v>0.18</v>
      </c>
      <c r="L9" s="28" t="n">
        <v>0.14</v>
      </c>
      <c r="M9" s="28" t="n">
        <v>0.15</v>
      </c>
    </row>
    <row r="10" customFormat="false" ht="15" hidden="false" customHeight="false" outlineLevel="0" collapsed="false">
      <c r="B10" s="4" t="s">
        <v>73</v>
      </c>
      <c r="I10" s="28" t="n">
        <v>0.14</v>
      </c>
      <c r="J10" s="28" t="n">
        <v>0.12</v>
      </c>
      <c r="K10" s="28" t="n">
        <v>0.08</v>
      </c>
      <c r="L10" s="28" t="n">
        <v>0.1</v>
      </c>
      <c r="M10" s="28" t="n">
        <v>0.17</v>
      </c>
    </row>
    <row r="11" customFormat="false" ht="15" hidden="false" customHeight="false" outlineLevel="0" collapsed="false">
      <c r="B11" s="7" t="s">
        <v>74</v>
      </c>
      <c r="I11" s="29" t="n">
        <f aca="false">CHOOSE($D$4,I8,I9,I10)</f>
        <v>0.15</v>
      </c>
      <c r="J11" s="29" t="n">
        <f aca="false">CHOOSE($D$4,J8,J9,J10)</f>
        <v>0.14</v>
      </c>
      <c r="K11" s="29" t="n">
        <f aca="false">CHOOSE($D$4,K8,K9,K10)</f>
        <v>0.11</v>
      </c>
      <c r="L11" s="29" t="n">
        <f aca="false">CHOOSE($D$4,L8,L9,L10)</f>
        <v>0.09</v>
      </c>
      <c r="M11" s="29" t="n">
        <f aca="false">CHOOSE($D$4,M8,M9,M10)</f>
        <v>0.16</v>
      </c>
    </row>
    <row r="13" customFormat="false" ht="15" hidden="false" customHeight="false" outlineLevel="0" collapsed="false">
      <c r="B13" s="7" t="s">
        <v>75</v>
      </c>
      <c r="C13" s="2" t="s">
        <v>70</v>
      </c>
    </row>
    <row r="14" customFormat="false" ht="15" hidden="false" customHeight="false" outlineLevel="0" collapsed="false">
      <c r="B14" s="4" t="s">
        <v>71</v>
      </c>
      <c r="I14" s="28" t="n">
        <v>0.76</v>
      </c>
      <c r="J14" s="28" t="n">
        <v>0.015</v>
      </c>
      <c r="K14" s="28" t="n">
        <v>-0.35</v>
      </c>
      <c r="L14" s="28" t="n">
        <v>-0.3</v>
      </c>
      <c r="M14" s="28" t="n">
        <v>0.06</v>
      </c>
    </row>
    <row r="15" customFormat="false" ht="15" hidden="false" customHeight="false" outlineLevel="0" collapsed="false">
      <c r="B15" s="4" t="s">
        <v>72</v>
      </c>
      <c r="I15" s="28" t="n">
        <v>0.8</v>
      </c>
      <c r="J15" s="28" t="n">
        <v>0.1</v>
      </c>
      <c r="K15" s="28" t="n">
        <v>-0.12</v>
      </c>
      <c r="L15" s="28" t="n">
        <v>-0.3</v>
      </c>
      <c r="M15" s="28" t="n">
        <v>-0.14</v>
      </c>
    </row>
    <row r="16" customFormat="false" ht="15" hidden="false" customHeight="false" outlineLevel="0" collapsed="false">
      <c r="B16" s="4" t="s">
        <v>73</v>
      </c>
      <c r="I16" s="28" t="n">
        <v>0.58</v>
      </c>
      <c r="J16" s="28" t="n">
        <v>-0.36</v>
      </c>
      <c r="K16" s="28" t="n">
        <v>-0.42</v>
      </c>
      <c r="L16" s="28" t="n">
        <v>-0.16</v>
      </c>
      <c r="M16" s="28" t="n">
        <v>0.1</v>
      </c>
    </row>
    <row r="17" customFormat="false" ht="15" hidden="false" customHeight="false" outlineLevel="0" collapsed="false">
      <c r="B17" s="7" t="s">
        <v>74</v>
      </c>
      <c r="I17" s="29" t="n">
        <f aca="false">CHOOSE($D$4,I14,I15,I16)</f>
        <v>0.76</v>
      </c>
      <c r="J17" s="29" t="n">
        <f aca="false">CHOOSE($D$4,J14,J15,J16)</f>
        <v>0.015</v>
      </c>
      <c r="K17" s="29" t="n">
        <f aca="false">CHOOSE($D$4,K14,K15,K16)</f>
        <v>-0.35</v>
      </c>
      <c r="L17" s="29" t="n">
        <f aca="false">CHOOSE($D$4,L14,L15,L16)</f>
        <v>-0.3</v>
      </c>
      <c r="M17" s="29" t="n">
        <f aca="false">CHOOSE($D$4,M14,M15,M16)</f>
        <v>0.06</v>
      </c>
    </row>
    <row r="19" customFormat="false" ht="15" hidden="false" customHeight="false" outlineLevel="0" collapsed="false">
      <c r="B19" s="7" t="s">
        <v>76</v>
      </c>
      <c r="C19" s="2" t="s">
        <v>70</v>
      </c>
    </row>
    <row r="20" customFormat="false" ht="15" hidden="false" customHeight="false" outlineLevel="0" collapsed="false">
      <c r="B20" s="4" t="s">
        <v>71</v>
      </c>
      <c r="I20" s="28" t="n">
        <v>0.24</v>
      </c>
      <c r="J20" s="28" t="n">
        <v>0.02</v>
      </c>
      <c r="K20" s="28" t="n">
        <v>0.07</v>
      </c>
      <c r="L20" s="28" t="n">
        <v>-0.02</v>
      </c>
      <c r="M20" s="28" t="n">
        <v>-0.09</v>
      </c>
    </row>
    <row r="21" customFormat="false" ht="15" hidden="false" customHeight="false" outlineLevel="0" collapsed="false">
      <c r="B21" s="4" t="s">
        <v>72</v>
      </c>
      <c r="I21" s="28" t="n">
        <v>0.21</v>
      </c>
      <c r="J21" s="28" t="n">
        <v>-0.03</v>
      </c>
      <c r="K21" s="28" t="n">
        <v>-0.03</v>
      </c>
      <c r="L21" s="28" t="n">
        <v>0.03</v>
      </c>
      <c r="M21" s="28" t="n">
        <v>-0.06</v>
      </c>
    </row>
    <row r="22" customFormat="false" ht="15" hidden="false" customHeight="false" outlineLevel="0" collapsed="false">
      <c r="B22" s="4" t="s">
        <v>73</v>
      </c>
      <c r="I22" s="28" t="n">
        <v>0.25</v>
      </c>
      <c r="J22" s="28" t="n">
        <v>0.07</v>
      </c>
      <c r="K22" s="28" t="n">
        <v>0.1</v>
      </c>
      <c r="L22" s="28" t="n">
        <v>-0.01</v>
      </c>
      <c r="M22" s="28" t="n">
        <v>-0.11</v>
      </c>
    </row>
    <row r="23" customFormat="false" ht="15" hidden="false" customHeight="false" outlineLevel="0" collapsed="false">
      <c r="B23" s="7" t="s">
        <v>74</v>
      </c>
      <c r="I23" s="29" t="n">
        <f aca="false">CHOOSE($D$4,I20,I21,I22)</f>
        <v>0.24</v>
      </c>
      <c r="J23" s="29" t="n">
        <f aca="false">CHOOSE($D$4,J20,J21,J22)</f>
        <v>0.02</v>
      </c>
      <c r="K23" s="29" t="n">
        <f aca="false">CHOOSE($D$4,K20,K21,K22)</f>
        <v>0.07</v>
      </c>
      <c r="L23" s="29" t="n">
        <f aca="false">CHOOSE($D$4,L20,L21,L22)</f>
        <v>-0.02</v>
      </c>
      <c r="M23" s="29" t="n">
        <f aca="false">CHOOSE($D$4,M20,M21,M22)</f>
        <v>-0.09</v>
      </c>
    </row>
    <row r="25" customFormat="false" ht="15" hidden="false" customHeight="false" outlineLevel="0" collapsed="false">
      <c r="B25" s="7" t="s">
        <v>77</v>
      </c>
      <c r="C25" s="2" t="s">
        <v>70</v>
      </c>
    </row>
    <row r="26" customFormat="false" ht="15" hidden="false" customHeight="false" outlineLevel="0" collapsed="false">
      <c r="B26" s="4" t="s">
        <v>71</v>
      </c>
      <c r="I26" s="28" t="n">
        <v>0.18</v>
      </c>
      <c r="J26" s="28" t="n">
        <v>0.17</v>
      </c>
      <c r="K26" s="28" t="n">
        <v>0.11</v>
      </c>
      <c r="L26" s="28" t="n">
        <v>0.12</v>
      </c>
      <c r="M26" s="28" t="n">
        <v>0.19</v>
      </c>
    </row>
    <row r="27" customFormat="false" ht="15" hidden="false" customHeight="false" outlineLevel="0" collapsed="false">
      <c r="B27" s="4" t="s">
        <v>72</v>
      </c>
      <c r="I27" s="28" t="n">
        <v>0.19</v>
      </c>
      <c r="J27" s="28" t="n">
        <v>0.2</v>
      </c>
      <c r="K27" s="28" t="n">
        <v>0.16</v>
      </c>
      <c r="L27" s="28" t="n">
        <v>0.13</v>
      </c>
      <c r="M27" s="28" t="n">
        <v>0.15</v>
      </c>
    </row>
    <row r="28" customFormat="false" ht="15" hidden="false" customHeight="false" outlineLevel="0" collapsed="false">
      <c r="B28" s="4" t="s">
        <v>73</v>
      </c>
      <c r="I28" s="28" t="n">
        <v>0.16</v>
      </c>
      <c r="J28" s="28" t="n">
        <v>0.1</v>
      </c>
      <c r="K28" s="28" t="n">
        <v>0.07</v>
      </c>
      <c r="L28" s="28" t="n">
        <v>0.1</v>
      </c>
      <c r="M28" s="28" t="n">
        <v>0.18</v>
      </c>
    </row>
    <row r="29" customFormat="false" ht="15" hidden="false" customHeight="false" outlineLevel="0" collapsed="false">
      <c r="B29" s="7" t="s">
        <v>74</v>
      </c>
      <c r="I29" s="29" t="n">
        <f aca="false">CHOOSE($D$4,I26,I27,I28)</f>
        <v>0.18</v>
      </c>
      <c r="J29" s="29" t="n">
        <f aca="false">CHOOSE($D$4,J26,J27,J28)</f>
        <v>0.17</v>
      </c>
      <c r="K29" s="29" t="n">
        <f aca="false">CHOOSE($D$4,K26,K27,K28)</f>
        <v>0.11</v>
      </c>
      <c r="L29" s="29" t="n">
        <f aca="false">CHOOSE($D$4,L26,L27,L28)</f>
        <v>0.12</v>
      </c>
      <c r="M29" s="29" t="n">
        <f aca="false">CHOOSE($D$4,M26,M27,M28)</f>
        <v>0.19</v>
      </c>
    </row>
    <row r="31" customFormat="false" ht="15" hidden="false" customHeight="false" outlineLevel="0" collapsed="false">
      <c r="B31" s="7" t="s">
        <v>78</v>
      </c>
      <c r="C31" s="2" t="s">
        <v>70</v>
      </c>
    </row>
    <row r="32" customFormat="false" ht="15" hidden="false" customHeight="false" outlineLevel="0" collapsed="false">
      <c r="B32" s="4" t="s">
        <v>71</v>
      </c>
      <c r="I32" s="28" t="n">
        <v>0.82</v>
      </c>
      <c r="J32" s="28" t="n">
        <v>-0.2</v>
      </c>
      <c r="K32" s="28" t="n">
        <v>-0.4</v>
      </c>
      <c r="L32" s="28" t="n">
        <v>-0.24</v>
      </c>
      <c r="M32" s="28" t="n">
        <v>0.08</v>
      </c>
    </row>
    <row r="33" customFormat="false" ht="15" hidden="false" customHeight="false" outlineLevel="0" collapsed="false">
      <c r="B33" s="4" t="s">
        <v>72</v>
      </c>
      <c r="I33" s="28" t="n">
        <v>0.9</v>
      </c>
      <c r="J33" s="28" t="n">
        <v>-0.05</v>
      </c>
      <c r="K33" s="28" t="n">
        <v>-0.18</v>
      </c>
      <c r="L33" s="28" t="n">
        <v>-0.3</v>
      </c>
      <c r="M33" s="28" t="n">
        <v>-0.12</v>
      </c>
    </row>
    <row r="34" customFormat="false" ht="15" hidden="false" customHeight="false" outlineLevel="0" collapsed="false">
      <c r="B34" s="4" t="s">
        <v>73</v>
      </c>
      <c r="I34" s="28" t="n">
        <v>0.7</v>
      </c>
      <c r="J34" s="28" t="n">
        <v>-0.44</v>
      </c>
      <c r="K34" s="28" t="n">
        <v>-0.44</v>
      </c>
      <c r="L34" s="28" t="n">
        <v>-0.15</v>
      </c>
      <c r="M34" s="28" t="n">
        <v>0.12</v>
      </c>
    </row>
    <row r="35" customFormat="false" ht="15" hidden="false" customHeight="false" outlineLevel="0" collapsed="false">
      <c r="B35" s="7" t="s">
        <v>74</v>
      </c>
      <c r="I35" s="29" t="n">
        <f aca="false">CHOOSE($D$4,I32,I33,I34)</f>
        <v>0.82</v>
      </c>
      <c r="J35" s="29" t="n">
        <f aca="false">CHOOSE($D$4,J32,J33,J34)</f>
        <v>-0.2</v>
      </c>
      <c r="K35" s="29" t="n">
        <f aca="false">CHOOSE($D$4,K32,K33,K34)</f>
        <v>-0.4</v>
      </c>
      <c r="L35" s="29" t="n">
        <f aca="false">CHOOSE($D$4,L32,L33,L34)</f>
        <v>-0.24</v>
      </c>
      <c r="M35" s="29" t="n">
        <f aca="false">CHOOSE($D$4,M32,M33,M34)</f>
        <v>0.08</v>
      </c>
    </row>
    <row r="37" customFormat="false" ht="15" hidden="false" customHeight="false" outlineLevel="0" collapsed="false">
      <c r="B37" s="7" t="s">
        <v>79</v>
      </c>
      <c r="C37" s="2" t="s">
        <v>70</v>
      </c>
    </row>
    <row r="38" customFormat="false" ht="15" hidden="false" customHeight="false" outlineLevel="0" collapsed="false">
      <c r="B38" s="4" t="s">
        <v>71</v>
      </c>
      <c r="I38" s="28" t="n">
        <v>0.14</v>
      </c>
      <c r="J38" s="28" t="n">
        <v>-0.03</v>
      </c>
      <c r="K38" s="28" t="n">
        <v>0.06</v>
      </c>
      <c r="L38" s="28" t="n">
        <v>-0.02</v>
      </c>
      <c r="M38" s="28" t="n">
        <v>-0.09</v>
      </c>
    </row>
    <row r="39" customFormat="false" ht="15" hidden="false" customHeight="false" outlineLevel="0" collapsed="false">
      <c r="B39" s="4" t="s">
        <v>72</v>
      </c>
      <c r="I39" s="28" t="n">
        <v>0.12</v>
      </c>
      <c r="J39" s="28" t="n">
        <v>-0.05</v>
      </c>
      <c r="K39" s="28" t="n">
        <v>-0.04</v>
      </c>
      <c r="L39" s="28" t="n">
        <v>0.02</v>
      </c>
      <c r="M39" s="28" t="n">
        <v>-0.07</v>
      </c>
    </row>
    <row r="40" customFormat="false" ht="15" hidden="false" customHeight="false" outlineLevel="0" collapsed="false">
      <c r="B40" s="4" t="s">
        <v>73</v>
      </c>
      <c r="I40" s="28" t="n">
        <v>0.16</v>
      </c>
      <c r="J40" s="28" t="n">
        <v>0.03</v>
      </c>
      <c r="K40" s="28" t="n">
        <v>0.08</v>
      </c>
      <c r="L40" s="28" t="n">
        <v>-0.02</v>
      </c>
      <c r="M40" s="28" t="n">
        <v>-0.11</v>
      </c>
    </row>
    <row r="41" customFormat="false" ht="15" hidden="false" customHeight="false" outlineLevel="0" collapsed="false">
      <c r="B41" s="7" t="s">
        <v>74</v>
      </c>
      <c r="I41" s="29" t="n">
        <f aca="false">CHOOSE($D$4,I38,I39,I40)</f>
        <v>0.14</v>
      </c>
      <c r="J41" s="29" t="n">
        <f aca="false">CHOOSE($D$4,J38,J39,J40)</f>
        <v>-0.03</v>
      </c>
      <c r="K41" s="29" t="n">
        <f aca="false">CHOOSE($D$4,K38,K39,K40)</f>
        <v>0.06</v>
      </c>
      <c r="L41" s="29" t="n">
        <f aca="false">CHOOSE($D$4,L38,L39,L40)</f>
        <v>-0.02</v>
      </c>
      <c r="M41" s="29" t="n">
        <f aca="false">CHOOSE($D$4,M38,M39,M40)</f>
        <v>-0.09</v>
      </c>
    </row>
    <row r="43" customFormat="false" ht="15" hidden="false" customHeight="false" outlineLevel="0" collapsed="false">
      <c r="B43" s="7" t="s">
        <v>80</v>
      </c>
      <c r="C43" s="2" t="s">
        <v>70</v>
      </c>
    </row>
    <row r="44" customFormat="false" ht="15" hidden="false" customHeight="false" outlineLevel="0" collapsed="false">
      <c r="B44" s="4" t="s">
        <v>71</v>
      </c>
      <c r="I44" s="28" t="n">
        <v>0.12</v>
      </c>
      <c r="J44" s="28" t="n">
        <v>0.04</v>
      </c>
      <c r="K44" s="28" t="n">
        <v>-0.12</v>
      </c>
      <c r="L44" s="28" t="n">
        <v>-0.08</v>
      </c>
      <c r="M44" s="28" t="n">
        <v>0.07</v>
      </c>
    </row>
    <row r="45" customFormat="false" ht="15" hidden="false" customHeight="false" outlineLevel="0" collapsed="false">
      <c r="B45" s="4" t="s">
        <v>72</v>
      </c>
      <c r="I45" s="28" t="n">
        <v>0.18</v>
      </c>
      <c r="J45" s="28" t="n">
        <v>0.08</v>
      </c>
      <c r="K45" s="28" t="n">
        <v>0</v>
      </c>
      <c r="L45" s="28" t="n">
        <v>-0.08</v>
      </c>
      <c r="M45" s="28" t="n">
        <v>0.04</v>
      </c>
    </row>
    <row r="46" customFormat="false" ht="15" hidden="false" customHeight="false" outlineLevel="0" collapsed="false">
      <c r="B46" s="4" t="s">
        <v>73</v>
      </c>
      <c r="I46" s="28" t="n">
        <v>0.08</v>
      </c>
      <c r="J46" s="28" t="n">
        <v>-0.12</v>
      </c>
      <c r="K46" s="28" t="n">
        <v>-0.2</v>
      </c>
      <c r="L46" s="28" t="n">
        <v>-0.05</v>
      </c>
      <c r="M46" s="28" t="n">
        <v>0.08</v>
      </c>
    </row>
    <row r="47" customFormat="false" ht="15" hidden="false" customHeight="false" outlineLevel="0" collapsed="false">
      <c r="B47" s="7" t="s">
        <v>74</v>
      </c>
      <c r="I47" s="29" t="n">
        <f aca="false">CHOOSE($D$4,I44,I45,I46)</f>
        <v>0.12</v>
      </c>
      <c r="J47" s="29" t="n">
        <f aca="false">CHOOSE($D$4,J44,J45,J46)</f>
        <v>0.04</v>
      </c>
      <c r="K47" s="29" t="n">
        <f aca="false">CHOOSE($D$4,K44,K45,K46)</f>
        <v>-0.12</v>
      </c>
      <c r="L47" s="29" t="n">
        <f aca="false">CHOOSE($D$4,L44,L45,L46)</f>
        <v>-0.08</v>
      </c>
      <c r="M47" s="29" t="n">
        <f aca="false">CHOOSE($D$4,M44,M45,M46)</f>
        <v>0.07</v>
      </c>
    </row>
    <row r="49" customFormat="false" ht="15" hidden="false" customHeight="false" outlineLevel="0" collapsed="false">
      <c r="B49" s="7" t="s">
        <v>81</v>
      </c>
      <c r="C49" s="2" t="s">
        <v>70</v>
      </c>
    </row>
    <row r="50" customFormat="false" ht="15" hidden="false" customHeight="false" outlineLevel="0" collapsed="false">
      <c r="B50" s="4" t="s">
        <v>71</v>
      </c>
      <c r="I50" s="28" t="n">
        <v>0.32</v>
      </c>
      <c r="J50" s="28" t="n">
        <v>0.13</v>
      </c>
      <c r="K50" s="28" t="n">
        <v>0.03</v>
      </c>
      <c r="L50" s="28" t="n">
        <v>-0.02</v>
      </c>
      <c r="M50" s="28" t="n">
        <v>0.06</v>
      </c>
    </row>
    <row r="51" customFormat="false" ht="15" hidden="false" customHeight="false" outlineLevel="0" collapsed="false">
      <c r="B51" s="4" t="s">
        <v>72</v>
      </c>
      <c r="I51" s="28" t="n">
        <v>0.34</v>
      </c>
      <c r="J51" s="28" t="n">
        <v>0.16</v>
      </c>
      <c r="K51" s="28" t="n">
        <v>0.09</v>
      </c>
      <c r="L51" s="28" t="n">
        <v>0.02</v>
      </c>
      <c r="M51" s="28" t="n">
        <v>0.03</v>
      </c>
    </row>
    <row r="52" customFormat="false" ht="15" hidden="false" customHeight="false" outlineLevel="0" collapsed="false">
      <c r="B52" s="4" t="s">
        <v>73</v>
      </c>
      <c r="I52" s="28" t="n">
        <v>0.3</v>
      </c>
      <c r="J52" s="28" t="n">
        <v>0.04</v>
      </c>
      <c r="K52" s="28" t="n">
        <v>-0.05</v>
      </c>
      <c r="L52" s="28" t="n">
        <v>-0.06</v>
      </c>
      <c r="M52" s="28" t="n">
        <v>0.03</v>
      </c>
    </row>
    <row r="53" customFormat="false" ht="15" hidden="false" customHeight="false" outlineLevel="0" collapsed="false">
      <c r="B53" s="7" t="s">
        <v>74</v>
      </c>
      <c r="I53" s="29" t="n">
        <f aca="false">CHOOSE($D$4,I50,I51,I52)</f>
        <v>0.32</v>
      </c>
      <c r="J53" s="29" t="n">
        <f aca="false">CHOOSE($D$4,J50,J51,J52)</f>
        <v>0.13</v>
      </c>
      <c r="K53" s="29" t="n">
        <f aca="false">CHOOSE($D$4,K50,K51,K52)</f>
        <v>0.03</v>
      </c>
      <c r="L53" s="29" t="n">
        <f aca="false">CHOOSE($D$4,L50,L51,L52)</f>
        <v>-0.02</v>
      </c>
      <c r="M53" s="29" t="n">
        <f aca="false">CHOOSE($D$4,M50,M51,M52)</f>
        <v>0.06</v>
      </c>
    </row>
    <row r="55" customFormat="false" ht="15" hidden="false" customHeight="false" outlineLevel="0" collapsed="false">
      <c r="B55" s="7" t="s">
        <v>82</v>
      </c>
      <c r="C55" s="2" t="s">
        <v>70</v>
      </c>
    </row>
    <row r="56" customFormat="false" ht="15" hidden="false" customHeight="false" outlineLevel="0" collapsed="false">
      <c r="B56" s="4" t="s">
        <v>71</v>
      </c>
      <c r="I56" s="28" t="n">
        <v>0.25</v>
      </c>
      <c r="J56" s="28" t="n">
        <v>0.09</v>
      </c>
      <c r="K56" s="28" t="n">
        <v>-0.01</v>
      </c>
      <c r="L56" s="28" t="n">
        <v>-0.05</v>
      </c>
      <c r="M56" s="28" t="n">
        <v>0.05</v>
      </c>
    </row>
    <row r="57" customFormat="false" ht="15" hidden="false" customHeight="false" outlineLevel="0" collapsed="false">
      <c r="B57" s="4" t="s">
        <v>72</v>
      </c>
      <c r="I57" s="28" t="n">
        <v>0.27</v>
      </c>
      <c r="J57" s="28" t="n">
        <v>0.11</v>
      </c>
      <c r="K57" s="28" t="n">
        <v>0.06</v>
      </c>
      <c r="L57" s="28" t="n">
        <v>0</v>
      </c>
      <c r="M57" s="28" t="n">
        <v>0.02</v>
      </c>
    </row>
    <row r="58" customFormat="false" ht="15" hidden="false" customHeight="false" outlineLevel="0" collapsed="false">
      <c r="B58" s="4" t="s">
        <v>73</v>
      </c>
      <c r="I58" s="28" t="n">
        <v>0.23</v>
      </c>
      <c r="J58" s="28" t="n">
        <v>0.01</v>
      </c>
      <c r="K58" s="28" t="n">
        <v>-0.07</v>
      </c>
      <c r="L58" s="28" t="n">
        <v>-0.08</v>
      </c>
      <c r="M58" s="28" t="n">
        <v>0.03</v>
      </c>
    </row>
    <row r="59" customFormat="false" ht="15" hidden="false" customHeight="false" outlineLevel="0" collapsed="false">
      <c r="B59" s="7" t="s">
        <v>74</v>
      </c>
      <c r="I59" s="29" t="n">
        <f aca="false">CHOOSE($D$4,I56,I57,I58)</f>
        <v>0.25</v>
      </c>
      <c r="J59" s="29" t="n">
        <f aca="false">CHOOSE($D$4,J56,J57,J58)</f>
        <v>0.09</v>
      </c>
      <c r="K59" s="29" t="n">
        <f aca="false">CHOOSE($D$4,K56,K57,K58)</f>
        <v>-0.01</v>
      </c>
      <c r="L59" s="29" t="n">
        <f aca="false">CHOOSE($D$4,L56,L57,L58)</f>
        <v>-0.05</v>
      </c>
      <c r="M59" s="29" t="n">
        <f aca="false">CHOOSE($D$4,M56,M57,M58)</f>
        <v>0.05</v>
      </c>
    </row>
    <row r="61" customFormat="false" ht="15" hidden="false" customHeight="false" outlineLevel="0" collapsed="false">
      <c r="B61" s="7" t="s">
        <v>83</v>
      </c>
      <c r="C61" s="2" t="s">
        <v>70</v>
      </c>
    </row>
    <row r="62" customFormat="false" ht="15" hidden="false" customHeight="false" outlineLevel="0" collapsed="false">
      <c r="B62" s="4" t="s">
        <v>71</v>
      </c>
      <c r="I62" s="30" t="n">
        <v>0.0073</v>
      </c>
      <c r="J62" s="30" t="n">
        <v>0.0076</v>
      </c>
      <c r="K62" s="30" t="n">
        <v>0.0117</v>
      </c>
      <c r="L62" s="30" t="n">
        <v>0.0153</v>
      </c>
      <c r="M62" s="30" t="n">
        <v>0.0133</v>
      </c>
    </row>
    <row r="63" customFormat="false" ht="15" hidden="false" customHeight="false" outlineLevel="0" collapsed="false">
      <c r="B63" s="4" t="s">
        <v>72</v>
      </c>
      <c r="I63" s="30" t="n">
        <v>0.007</v>
      </c>
      <c r="J63" s="30" t="n">
        <v>0.0066</v>
      </c>
      <c r="K63" s="30" t="n">
        <v>0.007</v>
      </c>
      <c r="L63" s="30" t="n">
        <v>0.0094</v>
      </c>
      <c r="M63" s="30" t="n">
        <v>0.0107</v>
      </c>
    </row>
    <row r="64" customFormat="false" ht="15" hidden="false" customHeight="false" outlineLevel="0" collapsed="false">
      <c r="B64" s="4" t="s">
        <v>73</v>
      </c>
      <c r="I64" s="30" t="n">
        <v>0.0078</v>
      </c>
      <c r="J64" s="30" t="n">
        <v>0.0115</v>
      </c>
      <c r="K64" s="30" t="n">
        <v>0.0175</v>
      </c>
      <c r="L64" s="30" t="n">
        <v>0.0195</v>
      </c>
      <c r="M64" s="30" t="n">
        <v>0.017</v>
      </c>
    </row>
    <row r="65" customFormat="false" ht="15" hidden="false" customHeight="false" outlineLevel="0" collapsed="false">
      <c r="B65" s="7" t="s">
        <v>74</v>
      </c>
      <c r="I65" s="31" t="n">
        <f aca="false">CHOOSE($D$4,I62,I63,I64)</f>
        <v>0.0073</v>
      </c>
      <c r="J65" s="31" t="n">
        <f aca="false">CHOOSE($D$4,J62,J63,J64)</f>
        <v>0.0076</v>
      </c>
      <c r="K65" s="31" t="n">
        <f aca="false">CHOOSE($D$4,K62,K63,K64)</f>
        <v>0.0117</v>
      </c>
      <c r="L65" s="31" t="n">
        <f aca="false">CHOOSE($D$4,L62,L63,L64)</f>
        <v>0.0153</v>
      </c>
      <c r="M65" s="31" t="n">
        <f aca="false">CHOOSE($D$4,M62,M63,M64)</f>
        <v>0.0133</v>
      </c>
    </row>
    <row r="67" customFormat="false" ht="15" hidden="false" customHeight="false" outlineLevel="0" collapsed="false">
      <c r="B67" s="7" t="s">
        <v>84</v>
      </c>
      <c r="C67" s="2" t="s">
        <v>85</v>
      </c>
    </row>
    <row r="68" customFormat="false" ht="15" hidden="false" customHeight="false" outlineLevel="0" collapsed="false">
      <c r="B68" s="4" t="s">
        <v>71</v>
      </c>
      <c r="I68" s="32" t="n">
        <v>52000</v>
      </c>
      <c r="J68" s="32" t="n">
        <v>58000</v>
      </c>
      <c r="K68" s="32" t="n">
        <v>38000</v>
      </c>
      <c r="L68" s="32" t="n">
        <v>30000</v>
      </c>
      <c r="M68" s="32" t="n">
        <v>36000</v>
      </c>
    </row>
    <row r="69" customFormat="false" ht="15" hidden="false" customHeight="false" outlineLevel="0" collapsed="false">
      <c r="B69" s="4" t="s">
        <v>72</v>
      </c>
      <c r="I69" s="32" t="n">
        <v>54000</v>
      </c>
      <c r="J69" s="32" t="n">
        <v>66000</v>
      </c>
      <c r="K69" s="32" t="n">
        <v>60000</v>
      </c>
      <c r="L69" s="32" t="n">
        <v>42000</v>
      </c>
      <c r="M69" s="32" t="n">
        <v>38000</v>
      </c>
    </row>
    <row r="70" customFormat="false" ht="15" hidden="false" customHeight="false" outlineLevel="0" collapsed="false">
      <c r="B70" s="4" t="s">
        <v>73</v>
      </c>
      <c r="I70" s="32" t="n">
        <v>49000</v>
      </c>
      <c r="J70" s="32" t="n">
        <v>40000</v>
      </c>
      <c r="K70" s="32" t="n">
        <v>25000</v>
      </c>
      <c r="L70" s="32" t="n">
        <v>21000</v>
      </c>
      <c r="M70" s="32" t="n">
        <v>25000</v>
      </c>
    </row>
    <row r="71" customFormat="false" ht="15" hidden="false" customHeight="false" outlineLevel="0" collapsed="false">
      <c r="B71" s="7" t="s">
        <v>74</v>
      </c>
      <c r="I71" s="33" t="n">
        <f aca="false">CHOOSE($D$4,I68,I69,I70)</f>
        <v>52000</v>
      </c>
      <c r="J71" s="33" t="n">
        <f aca="false">CHOOSE($D$4,J68,J69,J70)</f>
        <v>58000</v>
      </c>
      <c r="K71" s="33" t="n">
        <f aca="false">CHOOSE($D$4,K68,K69,K70)</f>
        <v>38000</v>
      </c>
      <c r="L71" s="33" t="n">
        <f aca="false">CHOOSE($D$4,L68,L69,L70)</f>
        <v>30000</v>
      </c>
      <c r="M71" s="33" t="n">
        <f aca="false">CHOOSE($D$4,M68,M69,M70)</f>
        <v>36000</v>
      </c>
    </row>
    <row r="73" customFormat="false" ht="15" hidden="false" customHeight="false" outlineLevel="0" collapsed="false">
      <c r="B73" s="7" t="s">
        <v>86</v>
      </c>
      <c r="C73" s="2" t="s">
        <v>70</v>
      </c>
    </row>
    <row r="74" customFormat="false" ht="15" hidden="false" customHeight="false" outlineLevel="0" collapsed="false">
      <c r="B74" s="4" t="s">
        <v>71</v>
      </c>
      <c r="I74" s="28" t="n">
        <v>0.197</v>
      </c>
      <c r="J74" s="28" t="n">
        <v>0.165</v>
      </c>
      <c r="K74" s="28" t="n">
        <v>0.16</v>
      </c>
      <c r="L74" s="28" t="n">
        <v>0.17</v>
      </c>
      <c r="M74" s="28" t="n">
        <v>0.18</v>
      </c>
    </row>
    <row r="75" customFormat="false" ht="15" hidden="false" customHeight="false" outlineLevel="0" collapsed="false">
      <c r="B75" s="4" t="s">
        <v>72</v>
      </c>
      <c r="I75" s="28" t="n">
        <v>0.197</v>
      </c>
      <c r="J75" s="28" t="n">
        <v>0.165</v>
      </c>
      <c r="K75" s="28" t="n">
        <v>0.165</v>
      </c>
      <c r="L75" s="28" t="n">
        <v>0.175</v>
      </c>
      <c r="M75" s="28" t="n">
        <v>0.185</v>
      </c>
    </row>
    <row r="76" customFormat="false" ht="15" hidden="false" customHeight="false" outlineLevel="0" collapsed="false">
      <c r="B76" s="4" t="s">
        <v>73</v>
      </c>
      <c r="I76" s="28" t="n">
        <v>0.197</v>
      </c>
      <c r="J76" s="28" t="n">
        <v>0.168</v>
      </c>
      <c r="K76" s="28" t="n">
        <v>0.175</v>
      </c>
      <c r="L76" s="28" t="n">
        <v>0.185</v>
      </c>
      <c r="M76" s="28" t="n">
        <v>0.19</v>
      </c>
    </row>
    <row r="77" customFormat="false" ht="15" hidden="false" customHeight="false" outlineLevel="0" collapsed="false">
      <c r="B77" s="7" t="s">
        <v>74</v>
      </c>
      <c r="I77" s="29" t="n">
        <f aca="false">CHOOSE($D$4,I74,I75,I76)</f>
        <v>0.197</v>
      </c>
      <c r="J77" s="29" t="n">
        <f aca="false">CHOOSE($D$4,J74,J75,J76)</f>
        <v>0.165</v>
      </c>
      <c r="K77" s="29" t="n">
        <f aca="false">CHOOSE($D$4,K74,K75,K76)</f>
        <v>0.16</v>
      </c>
      <c r="L77" s="29" t="n">
        <f aca="false">CHOOSE($D$4,L74,L75,L76)</f>
        <v>0.17</v>
      </c>
      <c r="M77" s="29" t="n">
        <f aca="false">CHOOSE($D$4,M74,M75,M76)</f>
        <v>0.18</v>
      </c>
    </row>
    <row r="79" customFormat="false" ht="15" hidden="false" customHeight="false" outlineLevel="0" collapsed="false">
      <c r="B79" s="7" t="s">
        <v>87</v>
      </c>
      <c r="C79" s="2" t="s">
        <v>70</v>
      </c>
    </row>
    <row r="80" customFormat="false" ht="15" hidden="false" customHeight="false" outlineLevel="0" collapsed="false">
      <c r="B80" s="4" t="s">
        <v>71</v>
      </c>
      <c r="I80" s="28" t="n">
        <v>0.155</v>
      </c>
      <c r="J80" s="28" t="n">
        <v>0.158</v>
      </c>
      <c r="K80" s="28" t="n">
        <v>0.15</v>
      </c>
      <c r="L80" s="28" t="n">
        <v>0.165</v>
      </c>
      <c r="M80" s="28" t="n">
        <v>0.155</v>
      </c>
    </row>
    <row r="81" customFormat="false" ht="15" hidden="false" customHeight="false" outlineLevel="0" collapsed="false">
      <c r="B81" s="4" t="s">
        <v>72</v>
      </c>
      <c r="I81" s="28" t="n">
        <v>0.155</v>
      </c>
      <c r="J81" s="28" t="n">
        <v>0.16</v>
      </c>
      <c r="K81" s="28" t="n">
        <v>0.16</v>
      </c>
      <c r="L81" s="28" t="n">
        <v>0.155</v>
      </c>
      <c r="M81" s="28" t="n">
        <v>0.152</v>
      </c>
    </row>
    <row r="82" customFormat="false" ht="15" hidden="false" customHeight="false" outlineLevel="0" collapsed="false">
      <c r="B82" s="4" t="s">
        <v>73</v>
      </c>
      <c r="I82" s="28" t="n">
        <v>0.155</v>
      </c>
      <c r="J82" s="28" t="n">
        <v>0.152</v>
      </c>
      <c r="K82" s="28" t="n">
        <v>0.185</v>
      </c>
      <c r="L82" s="28" t="n">
        <v>0.23</v>
      </c>
      <c r="M82" s="28" t="n">
        <v>0.17</v>
      </c>
    </row>
    <row r="83" customFormat="false" ht="15" hidden="false" customHeight="false" outlineLevel="0" collapsed="false">
      <c r="B83" s="7" t="s">
        <v>74</v>
      </c>
      <c r="I83" s="29" t="n">
        <f aca="false">CHOOSE($D$4,I80,I81,I82)</f>
        <v>0.155</v>
      </c>
      <c r="J83" s="29" t="n">
        <f aca="false">CHOOSE($D$4,J80,J81,J82)</f>
        <v>0.158</v>
      </c>
      <c r="K83" s="29" t="n">
        <f aca="false">CHOOSE($D$4,K80,K81,K82)</f>
        <v>0.15</v>
      </c>
      <c r="L83" s="29" t="n">
        <f aca="false">CHOOSE($D$4,L80,L81,L82)</f>
        <v>0.165</v>
      </c>
      <c r="M83" s="29" t="n">
        <f aca="false">CHOOSE($D$4,M80,M81,M82)</f>
        <v>0.155</v>
      </c>
    </row>
    <row r="85" customFormat="false" ht="15" hidden="false" customHeight="false" outlineLevel="0" collapsed="false">
      <c r="B85" s="7" t="s">
        <v>88</v>
      </c>
      <c r="C85" s="2" t="s">
        <v>89</v>
      </c>
    </row>
    <row r="86" customFormat="false" ht="15" hidden="false" customHeight="false" outlineLevel="0" collapsed="false">
      <c r="B86" s="4" t="s">
        <v>71</v>
      </c>
      <c r="I86" s="34" t="n">
        <v>71</v>
      </c>
      <c r="J86" s="34" t="n">
        <v>64</v>
      </c>
      <c r="K86" s="34" t="n">
        <v>56</v>
      </c>
      <c r="L86" s="34" t="n">
        <v>55</v>
      </c>
      <c r="M86" s="34" t="n">
        <v>60</v>
      </c>
    </row>
    <row r="87" customFormat="false" ht="15" hidden="false" customHeight="false" outlineLevel="0" collapsed="false">
      <c r="B87" s="4" t="s">
        <v>72</v>
      </c>
      <c r="I87" s="34" t="n">
        <v>72</v>
      </c>
      <c r="J87" s="34" t="n">
        <v>68</v>
      </c>
      <c r="K87" s="34" t="n">
        <v>66</v>
      </c>
      <c r="L87" s="34" t="n">
        <v>58</v>
      </c>
      <c r="M87" s="34" t="n">
        <v>56</v>
      </c>
    </row>
    <row r="88" customFormat="false" ht="15" hidden="false" customHeight="false" outlineLevel="0" collapsed="false">
      <c r="B88" s="4" t="s">
        <v>73</v>
      </c>
      <c r="I88" s="34" t="n">
        <v>68</v>
      </c>
      <c r="J88" s="34" t="n">
        <v>60</v>
      </c>
      <c r="K88" s="34" t="n">
        <v>57</v>
      </c>
      <c r="L88" s="34" t="n">
        <v>57</v>
      </c>
      <c r="M88" s="34" t="n">
        <v>61</v>
      </c>
    </row>
    <row r="89" customFormat="false" ht="15" hidden="false" customHeight="false" outlineLevel="0" collapsed="false">
      <c r="B89" s="7" t="s">
        <v>74</v>
      </c>
      <c r="I89" s="35" t="n">
        <f aca="false">CHOOSE($D$4,I86,I87,I88)</f>
        <v>71</v>
      </c>
      <c r="J89" s="35" t="n">
        <f aca="false">CHOOSE($D$4,J86,J87,J88)</f>
        <v>64</v>
      </c>
      <c r="K89" s="35" t="n">
        <f aca="false">CHOOSE($D$4,K86,K87,K88)</f>
        <v>56</v>
      </c>
      <c r="L89" s="35" t="n">
        <f aca="false">CHOOSE($D$4,L86,L87,L88)</f>
        <v>55</v>
      </c>
      <c r="M89" s="35" t="n">
        <f aca="false">CHOOSE($D$4,M86,M87,M88)</f>
        <v>60</v>
      </c>
    </row>
    <row r="91" customFormat="false" ht="15" hidden="false" customHeight="false" outlineLevel="0" collapsed="false">
      <c r="B91" s="7" t="s">
        <v>90</v>
      </c>
      <c r="C91" s="2" t="s">
        <v>89</v>
      </c>
    </row>
    <row r="92" customFormat="false" ht="15" hidden="false" customHeight="false" outlineLevel="0" collapsed="false">
      <c r="B92" s="4" t="s">
        <v>71</v>
      </c>
      <c r="I92" s="34" t="n">
        <v>131</v>
      </c>
      <c r="J92" s="34" t="n">
        <v>128</v>
      </c>
      <c r="K92" s="34" t="n">
        <v>158</v>
      </c>
      <c r="L92" s="34" t="n">
        <v>165</v>
      </c>
      <c r="M92" s="34" t="n">
        <v>142</v>
      </c>
    </row>
    <row r="93" customFormat="false" ht="15" hidden="false" customHeight="false" outlineLevel="0" collapsed="false">
      <c r="B93" s="4" t="s">
        <v>72</v>
      </c>
      <c r="I93" s="34" t="n">
        <v>129</v>
      </c>
      <c r="J93" s="34" t="n">
        <v>124</v>
      </c>
      <c r="K93" s="34" t="n">
        <v>130</v>
      </c>
      <c r="L93" s="34" t="n">
        <v>150</v>
      </c>
      <c r="M93" s="34" t="n">
        <v>150</v>
      </c>
    </row>
    <row r="94" customFormat="false" ht="15" hidden="false" customHeight="false" outlineLevel="0" collapsed="false">
      <c r="B94" s="4" t="s">
        <v>73</v>
      </c>
      <c r="I94" s="34" t="n">
        <v>136</v>
      </c>
      <c r="J94" s="34" t="n">
        <v>160</v>
      </c>
      <c r="K94" s="34" t="n">
        <v>175</v>
      </c>
      <c r="L94" s="34" t="n">
        <v>160</v>
      </c>
      <c r="M94" s="34" t="n">
        <v>140</v>
      </c>
    </row>
    <row r="95" customFormat="false" ht="15" hidden="false" customHeight="false" outlineLevel="0" collapsed="false">
      <c r="B95" s="7" t="s">
        <v>74</v>
      </c>
      <c r="I95" s="35" t="n">
        <f aca="false">CHOOSE($D$4,I92,I93,I94)</f>
        <v>131</v>
      </c>
      <c r="J95" s="35" t="n">
        <f aca="false">CHOOSE($D$4,J92,J93,J94)</f>
        <v>128</v>
      </c>
      <c r="K95" s="35" t="n">
        <f aca="false">CHOOSE($D$4,K92,K93,K94)</f>
        <v>158</v>
      </c>
      <c r="L95" s="35" t="n">
        <f aca="false">CHOOSE($D$4,L92,L93,L94)</f>
        <v>165</v>
      </c>
      <c r="M95" s="35" t="n">
        <f aca="false">CHOOSE($D$4,M92,M93,M94)</f>
        <v>142</v>
      </c>
    </row>
    <row r="97" customFormat="false" ht="15" hidden="false" customHeight="false" outlineLevel="0" collapsed="false">
      <c r="B97" s="7" t="s">
        <v>91</v>
      </c>
      <c r="C97" s="2" t="s">
        <v>89</v>
      </c>
    </row>
    <row r="98" customFormat="false" ht="15" hidden="false" customHeight="false" outlineLevel="0" collapsed="false">
      <c r="B98" s="4" t="s">
        <v>71</v>
      </c>
      <c r="I98" s="34" t="n">
        <v>284</v>
      </c>
      <c r="J98" s="34" t="n">
        <v>250</v>
      </c>
      <c r="K98" s="34" t="n">
        <v>158</v>
      </c>
      <c r="L98" s="34" t="n">
        <v>138</v>
      </c>
      <c r="M98" s="34" t="n">
        <v>150</v>
      </c>
    </row>
    <row r="99" customFormat="false" ht="15" hidden="false" customHeight="false" outlineLevel="0" collapsed="false">
      <c r="B99" s="4" t="s">
        <v>72</v>
      </c>
      <c r="I99" s="34" t="n">
        <v>288</v>
      </c>
      <c r="J99" s="34" t="n">
        <v>262</v>
      </c>
      <c r="K99" s="34" t="n">
        <v>232</v>
      </c>
      <c r="L99" s="34" t="n">
        <v>165</v>
      </c>
      <c r="M99" s="34" t="n">
        <v>140</v>
      </c>
    </row>
    <row r="100" customFormat="false" ht="15" hidden="false" customHeight="false" outlineLevel="0" collapsed="false">
      <c r="B100" s="4" t="s">
        <v>73</v>
      </c>
      <c r="I100" s="34" t="n">
        <v>262</v>
      </c>
      <c r="J100" s="34" t="n">
        <v>165</v>
      </c>
      <c r="K100" s="34" t="n">
        <v>112</v>
      </c>
      <c r="L100" s="34" t="n">
        <v>102</v>
      </c>
      <c r="M100" s="34" t="n">
        <v>112</v>
      </c>
    </row>
    <row r="101" customFormat="false" ht="15" hidden="false" customHeight="false" outlineLevel="0" collapsed="false">
      <c r="B101" s="7" t="s">
        <v>74</v>
      </c>
      <c r="I101" s="35" t="n">
        <f aca="false">CHOOSE($D$4,I98,I99,I100)</f>
        <v>284</v>
      </c>
      <c r="J101" s="35" t="n">
        <f aca="false">CHOOSE($D$4,J98,J99,J100)</f>
        <v>250</v>
      </c>
      <c r="K101" s="35" t="n">
        <f aca="false">CHOOSE($D$4,K98,K99,K100)</f>
        <v>158</v>
      </c>
      <c r="L101" s="35" t="n">
        <f aca="false">CHOOSE($D$4,L98,L99,L100)</f>
        <v>138</v>
      </c>
      <c r="M101" s="35" t="n">
        <f aca="false">CHOOSE($D$4,M98,M99,M100)</f>
        <v>150</v>
      </c>
    </row>
    <row r="103" customFormat="false" ht="15" hidden="false" customHeight="false" outlineLevel="0" collapsed="false">
      <c r="B103" s="7" t="s">
        <v>92</v>
      </c>
      <c r="C103" s="2" t="s">
        <v>85</v>
      </c>
    </row>
    <row r="104" customFormat="false" ht="15" hidden="false" customHeight="false" outlineLevel="0" collapsed="false">
      <c r="B104" s="4" t="s">
        <v>71</v>
      </c>
      <c r="I104" s="32" t="n">
        <v>85000</v>
      </c>
      <c r="J104" s="32" t="n">
        <v>160000</v>
      </c>
      <c r="K104" s="32" t="n">
        <v>120000</v>
      </c>
      <c r="L104" s="32" t="n">
        <v>85000</v>
      </c>
      <c r="M104" s="32" t="n">
        <v>100000</v>
      </c>
    </row>
    <row r="105" customFormat="false" ht="15" hidden="false" customHeight="false" outlineLevel="0" collapsed="false">
      <c r="B105" s="4" t="s">
        <v>72</v>
      </c>
      <c r="I105" s="32" t="n">
        <v>95000</v>
      </c>
      <c r="J105" s="32" t="n">
        <v>190000</v>
      </c>
      <c r="K105" s="32" t="n">
        <v>220000</v>
      </c>
      <c r="L105" s="32" t="n">
        <v>190000</v>
      </c>
      <c r="M105" s="32" t="n">
        <v>180000</v>
      </c>
    </row>
    <row r="106" customFormat="false" ht="15" hidden="false" customHeight="false" outlineLevel="0" collapsed="false">
      <c r="B106" s="4" t="s">
        <v>73</v>
      </c>
      <c r="I106" s="32" t="n">
        <v>70000</v>
      </c>
      <c r="J106" s="32" t="n">
        <v>80000</v>
      </c>
      <c r="K106" s="32" t="n">
        <v>25000</v>
      </c>
      <c r="L106" s="32" t="n">
        <v>10000</v>
      </c>
      <c r="M106" s="32" t="n">
        <v>15000</v>
      </c>
    </row>
    <row r="107" customFormat="false" ht="15" hidden="false" customHeight="false" outlineLevel="0" collapsed="false">
      <c r="B107" s="7" t="s">
        <v>74</v>
      </c>
      <c r="I107" s="33" t="n">
        <f aca="false">CHOOSE($D$4,I104,I105,I106)</f>
        <v>85000</v>
      </c>
      <c r="J107" s="33" t="n">
        <f aca="false">CHOOSE($D$4,J104,J105,J106)</f>
        <v>160000</v>
      </c>
      <c r="K107" s="33" t="n">
        <f aca="false">CHOOSE($D$4,K104,K105,K106)</f>
        <v>120000</v>
      </c>
      <c r="L107" s="33" t="n">
        <f aca="false">CHOOSE($D$4,L104,L105,L106)</f>
        <v>85000</v>
      </c>
      <c r="M107" s="33" t="n">
        <f aca="false">CHOOSE($D$4,M104,M105,M106)</f>
        <v>100000</v>
      </c>
    </row>
    <row r="109" customFormat="false" ht="15" hidden="false" customHeight="false" outlineLevel="0" collapsed="false">
      <c r="B109" s="7" t="s">
        <v>93</v>
      </c>
      <c r="C109" s="2" t="s">
        <v>70</v>
      </c>
    </row>
    <row r="110" customFormat="false" ht="15" hidden="false" customHeight="false" outlineLevel="0" collapsed="false">
      <c r="B110" s="4" t="s">
        <v>71</v>
      </c>
      <c r="I110" s="28" t="n">
        <v>0.32</v>
      </c>
      <c r="J110" s="28" t="n">
        <v>0.29</v>
      </c>
      <c r="K110" s="28" t="n">
        <v>0.18</v>
      </c>
      <c r="L110" s="28" t="n">
        <v>0.06</v>
      </c>
      <c r="M110" s="28" t="n">
        <v>0.05</v>
      </c>
    </row>
    <row r="111" customFormat="false" ht="15" hidden="false" customHeight="false" outlineLevel="0" collapsed="false">
      <c r="B111" s="4" t="s">
        <v>72</v>
      </c>
      <c r="I111" s="28" t="n">
        <v>0.32</v>
      </c>
      <c r="J111" s="28" t="n">
        <v>0.36</v>
      </c>
      <c r="K111" s="28" t="n">
        <v>0.22</v>
      </c>
      <c r="L111" s="28" t="n">
        <v>0.09</v>
      </c>
      <c r="M111" s="28" t="n">
        <v>0.05</v>
      </c>
    </row>
    <row r="112" customFormat="false" ht="15" hidden="false" customHeight="false" outlineLevel="0" collapsed="false">
      <c r="B112" s="4" t="s">
        <v>73</v>
      </c>
      <c r="I112" s="28" t="n">
        <v>0.32</v>
      </c>
      <c r="J112" s="28" t="n">
        <v>0.07</v>
      </c>
      <c r="K112" s="28" t="n">
        <v>0</v>
      </c>
      <c r="L112" s="28" t="n">
        <v>0</v>
      </c>
      <c r="M112" s="28" t="n">
        <v>0.03</v>
      </c>
    </row>
    <row r="113" customFormat="false" ht="15" hidden="false" customHeight="false" outlineLevel="0" collapsed="false">
      <c r="B113" s="7" t="s">
        <v>74</v>
      </c>
      <c r="I113" s="29" t="n">
        <f aca="false">CHOOSE($D$4,I110,I111,I112)</f>
        <v>0.32</v>
      </c>
      <c r="J113" s="29" t="n">
        <f aca="false">CHOOSE($D$4,J110,J111,J112)</f>
        <v>0.29</v>
      </c>
      <c r="K113" s="29" t="n">
        <f aca="false">CHOOSE($D$4,K110,K111,K112)</f>
        <v>0.18</v>
      </c>
      <c r="L113" s="29" t="n">
        <f aca="false">CHOOSE($D$4,L110,L111,L112)</f>
        <v>0.06</v>
      </c>
      <c r="M113" s="29" t="n">
        <f aca="false">CHOOSE($D$4,M110,M111,M112)</f>
        <v>0.05</v>
      </c>
    </row>
    <row r="115" customFormat="false" ht="15" hidden="false" customHeight="false" outlineLevel="0" collapsed="false">
      <c r="B115" s="7" t="s">
        <v>94</v>
      </c>
      <c r="C115" s="2" t="s">
        <v>70</v>
      </c>
    </row>
    <row r="116" customFormat="false" ht="15" hidden="false" customHeight="false" outlineLevel="0" collapsed="false">
      <c r="B116" s="4" t="s">
        <v>71</v>
      </c>
      <c r="I116" s="30" t="n">
        <v>0.043</v>
      </c>
      <c r="J116" s="30" t="n">
        <v>0.041</v>
      </c>
      <c r="K116" s="30" t="n">
        <v>0.038</v>
      </c>
      <c r="L116" s="30" t="n">
        <v>0.036</v>
      </c>
      <c r="M116" s="30" t="n">
        <v>0.036</v>
      </c>
    </row>
    <row r="117" customFormat="false" ht="15" hidden="false" customHeight="false" outlineLevel="0" collapsed="false">
      <c r="B117" s="4" t="s">
        <v>72</v>
      </c>
      <c r="I117" s="30" t="n">
        <v>0.043</v>
      </c>
      <c r="J117" s="30" t="n">
        <v>0.042</v>
      </c>
      <c r="K117" s="30" t="n">
        <v>0.04</v>
      </c>
      <c r="L117" s="30" t="n">
        <v>0.037</v>
      </c>
      <c r="M117" s="30" t="n">
        <v>0.036</v>
      </c>
    </row>
    <row r="118" customFormat="false" ht="15" hidden="false" customHeight="false" outlineLevel="0" collapsed="false">
      <c r="B118" s="4" t="s">
        <v>73</v>
      </c>
      <c r="I118" s="30" t="n">
        <v>0.042</v>
      </c>
      <c r="J118" s="30" t="n">
        <v>0.037</v>
      </c>
      <c r="K118" s="30" t="n">
        <v>0.032</v>
      </c>
      <c r="L118" s="30" t="n">
        <v>0.029</v>
      </c>
      <c r="M118" s="30" t="n">
        <v>0.03</v>
      </c>
    </row>
    <row r="119" customFormat="false" ht="15" hidden="false" customHeight="false" outlineLevel="0" collapsed="false">
      <c r="B119" s="7" t="s">
        <v>74</v>
      </c>
      <c r="I119" s="31" t="n">
        <f aca="false">CHOOSE($D$4,I116,I117,I118)</f>
        <v>0.043</v>
      </c>
      <c r="J119" s="31" t="n">
        <f aca="false">CHOOSE($D$4,J116,J117,J118)</f>
        <v>0.041</v>
      </c>
      <c r="K119" s="31" t="n">
        <f aca="false">CHOOSE($D$4,K116,K117,K118)</f>
        <v>0.038</v>
      </c>
      <c r="L119" s="31" t="n">
        <f aca="false">CHOOSE($D$4,L116,L117,L118)</f>
        <v>0.036</v>
      </c>
      <c r="M119" s="31" t="n">
        <f aca="false">CHOOSE($D$4,M116,M117,M118)</f>
        <v>0.036</v>
      </c>
    </row>
    <row r="121" customFormat="false" ht="15" hidden="false" customHeight="false" outlineLevel="0" collapsed="false">
      <c r="B121" s="7" t="s">
        <v>95</v>
      </c>
      <c r="C121" s="2" t="s">
        <v>70</v>
      </c>
    </row>
    <row r="122" customFormat="false" ht="15" hidden="false" customHeight="false" outlineLevel="0" collapsed="false">
      <c r="B122" s="4" t="s">
        <v>71</v>
      </c>
      <c r="I122" s="30" t="n">
        <v>0.045</v>
      </c>
      <c r="J122" s="30" t="n">
        <v>0.045</v>
      </c>
      <c r="K122" s="30" t="n">
        <v>0.045</v>
      </c>
      <c r="L122" s="30" t="n">
        <v>0.045</v>
      </c>
      <c r="M122" s="30" t="n">
        <v>0.045</v>
      </c>
    </row>
    <row r="123" customFormat="false" ht="15" hidden="false" customHeight="false" outlineLevel="0" collapsed="false">
      <c r="B123" s="4" t="s">
        <v>72</v>
      </c>
      <c r="I123" s="30" t="n">
        <v>0.045</v>
      </c>
      <c r="J123" s="30" t="n">
        <v>0.045</v>
      </c>
      <c r="K123" s="30" t="n">
        <v>0.045</v>
      </c>
      <c r="L123" s="30" t="n">
        <v>0.045</v>
      </c>
      <c r="M123" s="30" t="n">
        <v>0.045</v>
      </c>
    </row>
    <row r="124" customFormat="false" ht="15" hidden="false" customHeight="false" outlineLevel="0" collapsed="false">
      <c r="B124" s="4" t="s">
        <v>73</v>
      </c>
      <c r="I124" s="30" t="n">
        <v>0.045</v>
      </c>
      <c r="J124" s="30" t="n">
        <v>0.045</v>
      </c>
      <c r="K124" s="30" t="n">
        <v>0.045</v>
      </c>
      <c r="L124" s="30" t="n">
        <v>0.045</v>
      </c>
      <c r="M124" s="30" t="n">
        <v>0.045</v>
      </c>
    </row>
    <row r="125" customFormat="false" ht="15" hidden="false" customHeight="false" outlineLevel="0" collapsed="false">
      <c r="B125" s="7" t="s">
        <v>74</v>
      </c>
      <c r="I125" s="31" t="n">
        <f aca="false">CHOOSE($D$4,I122,I123,I124)</f>
        <v>0.045</v>
      </c>
      <c r="J125" s="31" t="n">
        <f aca="false">CHOOSE($D$4,J122,J123,J124)</f>
        <v>0.045</v>
      </c>
      <c r="K125" s="31" t="n">
        <f aca="false">CHOOSE($D$4,K122,K123,K124)</f>
        <v>0.045</v>
      </c>
      <c r="L125" s="31" t="n">
        <f aca="false">CHOOSE($D$4,L122,L123,L124)</f>
        <v>0.045</v>
      </c>
      <c r="M125" s="31" t="n">
        <f aca="false">CHOOSE($D$4,M122,M123,M124)</f>
        <v>0.045</v>
      </c>
    </row>
    <row r="127" customFormat="false" ht="15" hidden="false" customHeight="false" outlineLevel="0" collapsed="false">
      <c r="B127" s="7" t="s">
        <v>96</v>
      </c>
      <c r="C127" s="2" t="s">
        <v>97</v>
      </c>
    </row>
    <row r="128" customFormat="false" ht="15" hidden="false" customHeight="false" outlineLevel="0" collapsed="false">
      <c r="B128" s="4" t="s">
        <v>71</v>
      </c>
      <c r="I128" s="36" t="n">
        <v>1100</v>
      </c>
      <c r="J128" s="36" t="n">
        <v>1150</v>
      </c>
      <c r="K128" s="36" t="n">
        <v>950</v>
      </c>
      <c r="L128" s="36" t="n">
        <v>800</v>
      </c>
      <c r="M128" s="36" t="n">
        <v>900</v>
      </c>
    </row>
    <row r="129" customFormat="false" ht="15" hidden="false" customHeight="false" outlineLevel="0" collapsed="false">
      <c r="B129" s="4" t="s">
        <v>72</v>
      </c>
      <c r="I129" s="36" t="n">
        <v>1200</v>
      </c>
      <c r="J129" s="36" t="n">
        <v>1500</v>
      </c>
      <c r="K129" s="36" t="n">
        <v>1600</v>
      </c>
      <c r="L129" s="36" t="n">
        <v>1300</v>
      </c>
      <c r="M129" s="36" t="n">
        <v>1200</v>
      </c>
    </row>
    <row r="130" customFormat="false" ht="15" hidden="false" customHeight="false" outlineLevel="0" collapsed="false">
      <c r="B130" s="4" t="s">
        <v>73</v>
      </c>
      <c r="I130" s="36" t="n">
        <v>950</v>
      </c>
      <c r="J130" s="36" t="n">
        <v>650</v>
      </c>
      <c r="K130" s="36" t="n">
        <v>450</v>
      </c>
      <c r="L130" s="36" t="n">
        <v>400</v>
      </c>
      <c r="M130" s="36" t="n">
        <v>480</v>
      </c>
    </row>
    <row r="131" customFormat="false" ht="15" hidden="false" customHeight="false" outlineLevel="0" collapsed="false">
      <c r="B131" s="7" t="s">
        <v>74</v>
      </c>
      <c r="I131" s="37" t="n">
        <f aca="false">CHOOSE($D$4,I128,I129,I130)</f>
        <v>1100</v>
      </c>
      <c r="J131" s="37" t="n">
        <f aca="false">CHOOSE($D$4,J128,J129,J130)</f>
        <v>1150</v>
      </c>
      <c r="K131" s="37" t="n">
        <f aca="false">CHOOSE($D$4,K128,K129,K130)</f>
        <v>950</v>
      </c>
      <c r="L131" s="37" t="n">
        <f aca="false">CHOOSE($D$4,L128,L129,L130)</f>
        <v>800</v>
      </c>
      <c r="M131" s="37" t="n">
        <f aca="false">CHOOSE($D$4,M128,M129,M130)</f>
        <v>900</v>
      </c>
    </row>
    <row r="133" customFormat="false" ht="15" hidden="false" customHeight="false" outlineLevel="0" collapsed="false">
      <c r="B133" s="7" t="s">
        <v>98</v>
      </c>
      <c r="C133" s="2" t="s">
        <v>99</v>
      </c>
    </row>
    <row r="134" customFormat="false" ht="15" hidden="false" customHeight="false" outlineLevel="0" collapsed="false">
      <c r="B134" s="4" t="s">
        <v>71</v>
      </c>
      <c r="I134" s="34" t="n">
        <v>7</v>
      </c>
      <c r="J134" s="34" t="n">
        <v>7</v>
      </c>
      <c r="K134" s="34" t="n">
        <v>7</v>
      </c>
      <c r="L134" s="34" t="n">
        <v>7</v>
      </c>
      <c r="M134" s="34" t="n">
        <v>7</v>
      </c>
    </row>
    <row r="135" customFormat="false" ht="15" hidden="false" customHeight="false" outlineLevel="0" collapsed="false">
      <c r="B135" s="4" t="s">
        <v>72</v>
      </c>
      <c r="I135" s="34" t="n">
        <v>7</v>
      </c>
      <c r="J135" s="34" t="n">
        <v>7</v>
      </c>
      <c r="K135" s="34" t="n">
        <v>7</v>
      </c>
      <c r="L135" s="34" t="n">
        <v>7</v>
      </c>
      <c r="M135" s="34" t="n">
        <v>7</v>
      </c>
    </row>
    <row r="136" customFormat="false" ht="15" hidden="false" customHeight="false" outlineLevel="0" collapsed="false">
      <c r="B136" s="4" t="s">
        <v>73</v>
      </c>
      <c r="I136" s="34" t="n">
        <v>7</v>
      </c>
      <c r="J136" s="34" t="n">
        <v>7</v>
      </c>
      <c r="K136" s="34" t="n">
        <v>7</v>
      </c>
      <c r="L136" s="34" t="n">
        <v>7</v>
      </c>
      <c r="M136" s="34" t="n">
        <v>7</v>
      </c>
    </row>
    <row r="137" customFormat="false" ht="15" hidden="false" customHeight="false" outlineLevel="0" collapsed="false">
      <c r="B137" s="7" t="s">
        <v>74</v>
      </c>
      <c r="I137" s="35" t="n">
        <f aca="false">CHOOSE($D$4,I134,I135,I136)</f>
        <v>7</v>
      </c>
      <c r="J137" s="35" t="n">
        <f aca="false">CHOOSE($D$4,J134,J135,J136)</f>
        <v>7</v>
      </c>
      <c r="K137" s="35" t="n">
        <f aca="false">CHOOSE($D$4,K134,K135,K136)</f>
        <v>7</v>
      </c>
      <c r="L137" s="35" t="n">
        <f aca="false">CHOOSE($D$4,L134,L135,L136)</f>
        <v>7</v>
      </c>
      <c r="M137" s="35" t="n">
        <f aca="false">CHOOSE($D$4,M134,M135,M136)</f>
        <v>7</v>
      </c>
    </row>
    <row r="139" customFormat="false" ht="15" hidden="false" customHeight="false" outlineLevel="0" collapsed="false">
      <c r="B139" s="3" t="s">
        <v>100</v>
      </c>
    </row>
    <row r="140" customFormat="false" ht="15" hidden="false" customHeight="false" outlineLevel="0" collapsed="false">
      <c r="B140" s="7" t="s">
        <v>101</v>
      </c>
    </row>
    <row r="141" customFormat="false" ht="15" hidden="false" customHeight="false" outlineLevel="0" collapsed="false">
      <c r="B141" s="4" t="s">
        <v>71</v>
      </c>
      <c r="I141" s="28" t="n">
        <v>0.62</v>
      </c>
    </row>
    <row r="142" customFormat="false" ht="15" hidden="false" customHeight="false" outlineLevel="0" collapsed="false">
      <c r="B142" s="4" t="s">
        <v>72</v>
      </c>
      <c r="I142" s="28" t="n">
        <v>0.68</v>
      </c>
    </row>
    <row r="143" customFormat="false" ht="15" hidden="false" customHeight="false" outlineLevel="0" collapsed="false">
      <c r="B143" s="4" t="s">
        <v>73</v>
      </c>
      <c r="I143" s="28" t="n">
        <v>0.47</v>
      </c>
    </row>
    <row r="144" customFormat="false" ht="15" hidden="false" customHeight="false" outlineLevel="0" collapsed="false">
      <c r="B144" s="7" t="s">
        <v>74</v>
      </c>
      <c r="I144" s="29" t="n">
        <f aca="false">CHOOSE($D$4,I141,I142,I143)</f>
        <v>0.62</v>
      </c>
    </row>
    <row r="145" customFormat="false" ht="15" hidden="false" customHeight="false" outlineLevel="0" collapsed="false">
      <c r="B145" s="7" t="s">
        <v>102</v>
      </c>
    </row>
    <row r="146" customFormat="false" ht="15" hidden="false" customHeight="false" outlineLevel="0" collapsed="false">
      <c r="B146" s="4" t="s">
        <v>71</v>
      </c>
      <c r="I146" s="38" t="n">
        <v>0.95</v>
      </c>
    </row>
    <row r="147" customFormat="false" ht="15" hidden="false" customHeight="false" outlineLevel="0" collapsed="false">
      <c r="B147" s="4" t="s">
        <v>72</v>
      </c>
      <c r="I147" s="38" t="n">
        <v>0.98</v>
      </c>
    </row>
    <row r="148" customFormat="false" ht="15" hidden="false" customHeight="false" outlineLevel="0" collapsed="false">
      <c r="B148" s="4" t="s">
        <v>73</v>
      </c>
      <c r="I148" s="38" t="n">
        <v>0.97</v>
      </c>
    </row>
    <row r="149" customFormat="false" ht="15" hidden="false" customHeight="false" outlineLevel="0" collapsed="false">
      <c r="B149" s="7" t="s">
        <v>74</v>
      </c>
      <c r="I149" s="39" t="n">
        <f aca="false">CHOOSE($D$4,I146,I147,I148)</f>
        <v>0.95</v>
      </c>
    </row>
    <row r="150" customFormat="false" ht="15" hidden="false" customHeight="false" outlineLevel="0" collapsed="false">
      <c r="B150" s="7" t="s">
        <v>103</v>
      </c>
    </row>
    <row r="151" customFormat="false" ht="15" hidden="false" customHeight="false" outlineLevel="0" collapsed="false">
      <c r="B151" s="4" t="s">
        <v>71</v>
      </c>
      <c r="I151" s="28" t="n">
        <v>0.072</v>
      </c>
    </row>
    <row r="152" customFormat="false" ht="15" hidden="false" customHeight="false" outlineLevel="0" collapsed="false">
      <c r="B152" s="4" t="s">
        <v>72</v>
      </c>
      <c r="I152" s="28" t="n">
        <v>0.065</v>
      </c>
    </row>
    <row r="153" customFormat="false" ht="15" hidden="false" customHeight="false" outlineLevel="0" collapsed="false">
      <c r="B153" s="4" t="s">
        <v>73</v>
      </c>
      <c r="I153" s="28" t="n">
        <v>0.09</v>
      </c>
    </row>
    <row r="154" customFormat="false" ht="15" hidden="false" customHeight="false" outlineLevel="0" collapsed="false">
      <c r="B154" s="7" t="s">
        <v>74</v>
      </c>
      <c r="I154" s="29" t="n">
        <f aca="false">CHOOSE($D$4,I151,I152,I153)</f>
        <v>0.072</v>
      </c>
    </row>
    <row r="155" customFormat="false" ht="15" hidden="false" customHeight="false" outlineLevel="0" collapsed="false">
      <c r="B155" s="7" t="s">
        <v>104</v>
      </c>
    </row>
    <row r="156" customFormat="false" ht="15" hidden="false" customHeight="false" outlineLevel="0" collapsed="false">
      <c r="B156" s="4" t="s">
        <v>71</v>
      </c>
      <c r="I156" s="28" t="n">
        <v>0.24</v>
      </c>
    </row>
    <row r="157" customFormat="false" ht="15" hidden="false" customHeight="false" outlineLevel="0" collapsed="false">
      <c r="B157" s="4" t="s">
        <v>72</v>
      </c>
      <c r="I157" s="28" t="n">
        <v>0.25</v>
      </c>
    </row>
    <row r="158" customFormat="false" ht="15" hidden="false" customHeight="false" outlineLevel="0" collapsed="false">
      <c r="B158" s="4" t="s">
        <v>73</v>
      </c>
      <c r="I158" s="28" t="n">
        <v>0.3</v>
      </c>
    </row>
    <row r="159" customFormat="false" ht="15" hidden="false" customHeight="false" outlineLevel="0" collapsed="false">
      <c r="B159" s="7" t="s">
        <v>74</v>
      </c>
      <c r="I159" s="29" t="n">
        <f aca="false">CHOOSE($D$4,I156,I157,I158)</f>
        <v>0.24</v>
      </c>
    </row>
    <row r="160" customFormat="false" ht="15" hidden="false" customHeight="false" outlineLevel="0" collapsed="false">
      <c r="B160" s="7" t="s">
        <v>105</v>
      </c>
    </row>
    <row r="161" customFormat="false" ht="15" hidden="false" customHeight="false" outlineLevel="0" collapsed="false">
      <c r="B161" s="4" t="s">
        <v>71</v>
      </c>
      <c r="I161" s="28" t="n">
        <v>0.165</v>
      </c>
    </row>
    <row r="162" customFormat="false" ht="15" hidden="false" customHeight="false" outlineLevel="0" collapsed="false">
      <c r="B162" s="4" t="s">
        <v>72</v>
      </c>
      <c r="I162" s="28" t="n">
        <v>0.15</v>
      </c>
    </row>
    <row r="163" customFormat="false" ht="15" hidden="false" customHeight="false" outlineLevel="0" collapsed="false">
      <c r="B163" s="4" t="s">
        <v>73</v>
      </c>
      <c r="I163" s="28" t="n">
        <v>0.2</v>
      </c>
    </row>
    <row r="164" customFormat="false" ht="15" hidden="false" customHeight="false" outlineLevel="0" collapsed="false">
      <c r="B164" s="7" t="s">
        <v>74</v>
      </c>
      <c r="I164" s="29" t="n">
        <f aca="false">CHOOSE($D$4,I161,I162,I163)</f>
        <v>0.165</v>
      </c>
    </row>
    <row r="165" customFormat="false" ht="15" hidden="false" customHeight="false" outlineLevel="0" collapsed="false">
      <c r="B165" s="7" t="s">
        <v>106</v>
      </c>
    </row>
    <row r="166" customFormat="false" ht="15" hidden="false" customHeight="false" outlineLevel="0" collapsed="false">
      <c r="B166" s="4" t="s">
        <v>71</v>
      </c>
      <c r="I166" s="28" t="n">
        <v>0.155</v>
      </c>
    </row>
    <row r="167" customFormat="false" ht="15" hidden="false" customHeight="false" outlineLevel="0" collapsed="false">
      <c r="B167" s="4" t="s">
        <v>72</v>
      </c>
      <c r="I167" s="28" t="n">
        <v>0.155</v>
      </c>
    </row>
    <row r="168" customFormat="false" ht="15" hidden="false" customHeight="false" outlineLevel="0" collapsed="false">
      <c r="B168" s="4" t="s">
        <v>73</v>
      </c>
      <c r="I168" s="28" t="n">
        <v>0.165</v>
      </c>
    </row>
    <row r="169" customFormat="false" ht="15" hidden="false" customHeight="false" outlineLevel="0" collapsed="false">
      <c r="B169" s="7" t="s">
        <v>74</v>
      </c>
      <c r="I169" s="29" t="n">
        <f aca="false">CHOOSE($D$4,I166,I167,I168)</f>
        <v>0.155</v>
      </c>
    </row>
    <row r="170" customFormat="false" ht="15" hidden="false" customHeight="false" outlineLevel="0" collapsed="false">
      <c r="B170" s="7" t="s">
        <v>107</v>
      </c>
    </row>
    <row r="171" customFormat="false" ht="15" hidden="false" customHeight="false" outlineLevel="0" collapsed="false">
      <c r="B171" s="4" t="s">
        <v>71</v>
      </c>
      <c r="I171" s="28" t="n">
        <v>0.15</v>
      </c>
    </row>
    <row r="172" customFormat="false" ht="15" hidden="false" customHeight="false" outlineLevel="0" collapsed="false">
      <c r="B172" s="4" t="s">
        <v>72</v>
      </c>
      <c r="I172" s="28" t="n">
        <v>0.16</v>
      </c>
    </row>
    <row r="173" customFormat="false" ht="15" hidden="false" customHeight="false" outlineLevel="0" collapsed="false">
      <c r="B173" s="4" t="s">
        <v>73</v>
      </c>
      <c r="I173" s="28" t="n">
        <v>0.19</v>
      </c>
    </row>
    <row r="174" customFormat="false" ht="15" hidden="false" customHeight="false" outlineLevel="0" collapsed="false">
      <c r="B174" s="7" t="s">
        <v>74</v>
      </c>
      <c r="I174" s="29" t="n">
        <f aca="false">CHOOSE($D$4,I171,I172,I173)</f>
        <v>0.15</v>
      </c>
    </row>
    <row r="176" customFormat="false" ht="15" hidden="false" customHeight="false" outlineLevel="0" collapsed="false">
      <c r="B176" s="3" t="s">
        <v>108</v>
      </c>
    </row>
    <row r="177" customFormat="false" ht="15" hidden="false" customHeight="false" outlineLevel="0" collapsed="false">
      <c r="B177" s="4" t="s">
        <v>109</v>
      </c>
      <c r="C177" s="2" t="s">
        <v>70</v>
      </c>
      <c r="I177" s="30" t="n">
        <v>0.0527</v>
      </c>
    </row>
    <row r="178" customFormat="false" ht="15" hidden="false" customHeight="false" outlineLevel="0" collapsed="false">
      <c r="B178" s="7" t="s">
        <v>110</v>
      </c>
    </row>
    <row r="179" customFormat="false" ht="15" hidden="false" customHeight="false" outlineLevel="0" collapsed="false">
      <c r="B179" s="4" t="s">
        <v>71</v>
      </c>
      <c r="I179" s="40" t="n">
        <v>1.82</v>
      </c>
    </row>
    <row r="180" customFormat="false" ht="15" hidden="false" customHeight="false" outlineLevel="0" collapsed="false">
      <c r="B180" s="4" t="s">
        <v>72</v>
      </c>
      <c r="I180" s="40" t="n">
        <v>1.65</v>
      </c>
    </row>
    <row r="181" customFormat="false" ht="15" hidden="false" customHeight="false" outlineLevel="0" collapsed="false">
      <c r="B181" s="4" t="s">
        <v>73</v>
      </c>
      <c r="I181" s="40" t="n">
        <v>2.1</v>
      </c>
    </row>
    <row r="182" customFormat="false" ht="15" hidden="false" customHeight="false" outlineLevel="0" collapsed="false">
      <c r="B182" s="7" t="s">
        <v>74</v>
      </c>
      <c r="I182" s="41" t="n">
        <f aca="false">CHOOSE($D$4,I179,I180,I181)</f>
        <v>1.82</v>
      </c>
    </row>
    <row r="183" customFormat="false" ht="15" hidden="false" customHeight="false" outlineLevel="0" collapsed="false">
      <c r="B183" s="4" t="s">
        <v>111</v>
      </c>
      <c r="C183" s="2" t="s">
        <v>70</v>
      </c>
      <c r="I183" s="30" t="n">
        <v>0.042</v>
      </c>
    </row>
    <row r="184" customFormat="false" ht="15" hidden="false" customHeight="false" outlineLevel="0" collapsed="false">
      <c r="B184" s="7" t="s">
        <v>112</v>
      </c>
      <c r="C184" s="2" t="s">
        <v>70</v>
      </c>
      <c r="I184" s="31" t="n">
        <f aca="false">I177+I182*I183</f>
        <v>0.12914</v>
      </c>
    </row>
    <row r="185" customFormat="false" ht="15" hidden="false" customHeight="false" outlineLevel="0" collapsed="false">
      <c r="B185" s="4" t="s">
        <v>113</v>
      </c>
      <c r="C185" s="2" t="s">
        <v>70</v>
      </c>
      <c r="I185" s="30" t="n">
        <v>0.059</v>
      </c>
    </row>
    <row r="186" customFormat="false" ht="15" hidden="false" customHeight="false" outlineLevel="0" collapsed="false">
      <c r="B186" s="4" t="s">
        <v>114</v>
      </c>
      <c r="C186" s="2" t="s">
        <v>70</v>
      </c>
      <c r="I186" s="28" t="n">
        <v>0.155</v>
      </c>
    </row>
    <row r="187" customFormat="false" ht="15" hidden="false" customHeight="false" outlineLevel="0" collapsed="false">
      <c r="B187" s="4" t="s">
        <v>115</v>
      </c>
      <c r="C187" s="2" t="s">
        <v>70</v>
      </c>
      <c r="I187" s="21" t="n">
        <f aca="false">I185*(1-I186)</f>
        <v>0.049855</v>
      </c>
    </row>
    <row r="188" customFormat="false" ht="15" hidden="false" customHeight="false" outlineLevel="0" collapsed="false">
      <c r="B188" s="4" t="s">
        <v>116</v>
      </c>
      <c r="C188" s="2" t="s">
        <v>70</v>
      </c>
      <c r="I188" s="28" t="n">
        <v>0.005</v>
      </c>
    </row>
    <row r="189" customFormat="false" ht="15" hidden="false" customHeight="false" outlineLevel="0" collapsed="false">
      <c r="B189" s="4" t="s">
        <v>117</v>
      </c>
      <c r="C189" s="2" t="s">
        <v>70</v>
      </c>
      <c r="I189" s="42" t="n">
        <f aca="false">1-I188</f>
        <v>0.995</v>
      </c>
    </row>
    <row r="190" customFormat="false" ht="15" hidden="false" customHeight="false" outlineLevel="0" collapsed="false">
      <c r="B190" s="7" t="s">
        <v>118</v>
      </c>
      <c r="C190" s="2" t="s">
        <v>70</v>
      </c>
      <c r="I190" s="31" t="n">
        <f aca="false">I189*I184+I188*I187</f>
        <v>0.128743575</v>
      </c>
    </row>
    <row r="191" customFormat="false" ht="15" hidden="false" customHeight="false" outlineLevel="0" collapsed="false">
      <c r="B191" s="7" t="s">
        <v>119</v>
      </c>
    </row>
    <row r="192" customFormat="false" ht="15" hidden="false" customHeight="false" outlineLevel="0" collapsed="false">
      <c r="B192" s="4" t="s">
        <v>71</v>
      </c>
      <c r="I192" s="28" t="n">
        <v>0.03</v>
      </c>
    </row>
    <row r="193" customFormat="false" ht="15" hidden="false" customHeight="false" outlineLevel="0" collapsed="false">
      <c r="B193" s="4" t="s">
        <v>72</v>
      </c>
      <c r="I193" s="28" t="n">
        <v>0.035</v>
      </c>
    </row>
    <row r="194" customFormat="false" ht="15" hidden="false" customHeight="false" outlineLevel="0" collapsed="false">
      <c r="B194" s="4" t="s">
        <v>73</v>
      </c>
      <c r="I194" s="28" t="n">
        <v>0.025</v>
      </c>
    </row>
    <row r="195" customFormat="false" ht="15" hidden="false" customHeight="false" outlineLevel="0" collapsed="false">
      <c r="B195" s="7" t="s">
        <v>74</v>
      </c>
      <c r="I195" s="29" t="n">
        <f aca="false">CHOOSE($D$4,I192,I193,I194)</f>
        <v>0.03</v>
      </c>
    </row>
    <row r="196" customFormat="false" ht="15" hidden="false" customHeight="false" outlineLevel="0" collapsed="false">
      <c r="B196" s="4" t="s">
        <v>120</v>
      </c>
      <c r="I196" s="43" t="n">
        <v>1</v>
      </c>
    </row>
    <row r="198" customFormat="false" ht="15" hidden="false" customHeight="false" outlineLevel="0" collapsed="false">
      <c r="B198" s="3" t="s">
        <v>121</v>
      </c>
    </row>
    <row r="199" customFormat="false" ht="15" hidden="false" customHeight="false" outlineLevel="0" collapsed="false">
      <c r="B199" s="4" t="s">
        <v>122</v>
      </c>
      <c r="C199" s="2" t="s">
        <v>70</v>
      </c>
      <c r="H199" s="28" t="n">
        <v>0.815</v>
      </c>
    </row>
    <row r="200" customFormat="false" ht="15" hidden="false" customHeight="false" outlineLevel="0" collapsed="false">
      <c r="B200" s="4" t="s">
        <v>123</v>
      </c>
      <c r="C200" s="2" t="s">
        <v>70</v>
      </c>
      <c r="H200" s="28" t="n">
        <v>0.65</v>
      </c>
    </row>
    <row r="202" customFormat="false" ht="15" hidden="false" customHeight="false" outlineLevel="0" collapsed="false">
      <c r="B202" s="3" t="s">
        <v>124</v>
      </c>
    </row>
    <row r="203" customFormat="false" ht="15" hidden="false" customHeight="false" outlineLevel="0" collapsed="false">
      <c r="B203" s="4" t="s">
        <v>125</v>
      </c>
      <c r="C203" s="2" t="s">
        <v>97</v>
      </c>
      <c r="I203" s="36" t="n">
        <v>1045.56</v>
      </c>
    </row>
    <row r="204" customFormat="false" ht="15" hidden="false" customHeight="false" outlineLevel="0" collapsed="false">
      <c r="B204" s="4" t="s">
        <v>4</v>
      </c>
      <c r="I204" s="44" t="s">
        <v>126</v>
      </c>
    </row>
    <row r="205" customFormat="false" ht="15" hidden="false" customHeight="false" outlineLevel="0" collapsed="false">
      <c r="B205" s="4" t="s">
        <v>127</v>
      </c>
      <c r="C205" s="2" t="s">
        <v>99</v>
      </c>
      <c r="I205" s="45" t="n">
        <v>1129.39</v>
      </c>
    </row>
    <row r="206" customFormat="false" ht="15" hidden="false" customHeight="false" outlineLevel="0" collapsed="false">
      <c r="B206" s="4" t="s">
        <v>128</v>
      </c>
      <c r="C206" s="2" t="s">
        <v>99</v>
      </c>
      <c r="I206" s="32" t="n">
        <v>1147</v>
      </c>
    </row>
    <row r="207" customFormat="false" ht="15" hidden="false" customHeight="false" outlineLevel="0" collapsed="false">
      <c r="B207" s="4" t="s">
        <v>129</v>
      </c>
      <c r="C207" s="2" t="s">
        <v>85</v>
      </c>
      <c r="I207" s="32" t="n">
        <v>275010</v>
      </c>
    </row>
    <row r="208" customFormat="false" ht="15" hidden="false" customHeight="false" outlineLevel="0" collapsed="false">
      <c r="B208" s="4" t="s">
        <v>130</v>
      </c>
      <c r="C208" s="2" t="s">
        <v>97</v>
      </c>
      <c r="I208" s="46" t="n">
        <v>176.15</v>
      </c>
    </row>
    <row r="209" customFormat="false" ht="15" hidden="false" customHeight="false" outlineLevel="0" collapsed="false">
      <c r="B209" s="4" t="s">
        <v>131</v>
      </c>
      <c r="C209" s="2" t="s">
        <v>85</v>
      </c>
      <c r="I209" s="32" t="n">
        <v>314640</v>
      </c>
    </row>
    <row r="210" customFormat="false" ht="15" hidden="false" customHeight="false" outlineLevel="0" collapsed="false">
      <c r="B210" s="4" t="s">
        <v>132</v>
      </c>
      <c r="C210" s="2" t="s">
        <v>97</v>
      </c>
      <c r="I210" s="46" t="n">
        <v>206.33</v>
      </c>
    </row>
    <row r="211" customFormat="false" ht="15" hidden="false" customHeight="false" outlineLevel="0" collapsed="false">
      <c r="B211" s="4" t="s">
        <v>133</v>
      </c>
      <c r="C211" s="2" t="s">
        <v>97</v>
      </c>
      <c r="I211" s="36" t="n">
        <v>1535.57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5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13" min="4" style="0" width="10"/>
  </cols>
  <sheetData>
    <row r="1" customFormat="false" ht="15" hidden="false" customHeight="false" outlineLevel="0" collapsed="false">
      <c r="B1" s="1" t="s">
        <v>134</v>
      </c>
    </row>
    <row r="2" customFormat="false" ht="15" hidden="false" customHeight="false" outlineLevel="0" collapsed="false">
      <c r="B2" s="2" t="s">
        <v>135</v>
      </c>
    </row>
    <row r="4" customFormat="false" ht="15" hidden="false" customHeight="false" outlineLevel="0" collapsed="false">
      <c r="B4" s="12" t="s">
        <v>16</v>
      </c>
      <c r="C4" s="13"/>
      <c r="D4" s="14" t="s">
        <v>65</v>
      </c>
      <c r="E4" s="14" t="s">
        <v>66</v>
      </c>
      <c r="F4" s="14" t="s">
        <v>17</v>
      </c>
      <c r="G4" s="14" t="s">
        <v>18</v>
      </c>
      <c r="H4" s="14" t="s">
        <v>19</v>
      </c>
      <c r="I4" s="14" t="s">
        <v>20</v>
      </c>
      <c r="J4" s="14" t="s">
        <v>21</v>
      </c>
      <c r="K4" s="14" t="s">
        <v>22</v>
      </c>
      <c r="L4" s="14" t="s">
        <v>67</v>
      </c>
      <c r="M4" s="14" t="s">
        <v>68</v>
      </c>
    </row>
    <row r="5" customFormat="false" ht="15" hidden="false" customHeight="false" outlineLevel="0" collapsed="false">
      <c r="B5" s="3" t="s">
        <v>136</v>
      </c>
    </row>
    <row r="6" customFormat="false" ht="15" hidden="false" customHeight="false" outlineLevel="0" collapsed="false">
      <c r="B6" s="4" t="s">
        <v>137</v>
      </c>
      <c r="C6" s="2" t="s">
        <v>138</v>
      </c>
      <c r="D6" s="32" t="n">
        <v>22386</v>
      </c>
      <c r="E6" s="32" t="n">
        <v>10978</v>
      </c>
      <c r="F6" s="32" t="n">
        <v>17600</v>
      </c>
      <c r="G6" s="32" t="n">
        <v>28578</v>
      </c>
      <c r="H6" s="32" t="n">
        <v>100679</v>
      </c>
      <c r="I6" s="47" t="n">
        <f aca="false">H6*(1+Premissas!I11)*(1+Premissas!I17)</f>
        <v>203774.296</v>
      </c>
      <c r="J6" s="47" t="n">
        <f aca="false">I6*(1+Premissas!J11)*(1+Premissas!J17)</f>
        <v>235787.2379016</v>
      </c>
      <c r="K6" s="47" t="n">
        <f aca="false">J6*(1+Premissas!K11)*(1+Premissas!K17)</f>
        <v>170120.492146004</v>
      </c>
      <c r="L6" s="47" t="n">
        <f aca="false">K6*(1+Premissas!L11)*(1+Premissas!L17)</f>
        <v>129801.935507401</v>
      </c>
      <c r="M6" s="47" t="n">
        <f aca="false">L6*(1+Premissas!M11)*(1+Premissas!M17)</f>
        <v>159604.459899901</v>
      </c>
    </row>
    <row r="7" customFormat="false" ht="15" hidden="false" customHeight="false" outlineLevel="0" collapsed="false">
      <c r="B7" s="4" t="s">
        <v>139</v>
      </c>
      <c r="D7" s="32" t="n">
        <v>7811</v>
      </c>
      <c r="E7" s="32" t="n">
        <v>4206</v>
      </c>
      <c r="F7" s="32" t="n">
        <v>7230</v>
      </c>
      <c r="G7" s="32" t="n">
        <v>8503</v>
      </c>
      <c r="H7" s="32" t="n">
        <v>31785</v>
      </c>
      <c r="I7" s="47" t="n">
        <f aca="false">H7*(1+Premissas!I29)*(1+Premissas!I35)</f>
        <v>68261.466</v>
      </c>
      <c r="J7" s="47" t="n">
        <f aca="false">I7*(1+Premissas!J29)*(1+Premissas!J35)</f>
        <v>63892.732176</v>
      </c>
      <c r="K7" s="47" t="n">
        <f aca="false">J7*(1+Premissas!K29)*(1+Premissas!K35)</f>
        <v>42552.559629216</v>
      </c>
      <c r="L7" s="47" t="n">
        <f aca="false">K7*(1+Premissas!L29)*(1+Premissas!L35)</f>
        <v>36220.7387563887</v>
      </c>
      <c r="M7" s="47" t="n">
        <f aca="false">L7*(1+Premissas!M29)*(1+Premissas!M35)</f>
        <v>46550.8934497107</v>
      </c>
    </row>
    <row r="8" customFormat="false" ht="15" hidden="false" customHeight="false" outlineLevel="0" collapsed="false">
      <c r="B8" s="4" t="s">
        <v>140</v>
      </c>
      <c r="C8" s="2" t="s">
        <v>141</v>
      </c>
      <c r="D8" s="32" t="n">
        <v>561</v>
      </c>
      <c r="E8" s="32" t="n">
        <v>356</v>
      </c>
      <c r="F8" s="32" t="n">
        <v>281</v>
      </c>
      <c r="G8" s="32" t="n">
        <v>297</v>
      </c>
      <c r="H8" s="32" t="n">
        <v>724</v>
      </c>
      <c r="I8" s="47" t="n">
        <f aca="false">H8*(1+Premissas!I47)</f>
        <v>810.88</v>
      </c>
      <c r="J8" s="47" t="n">
        <f aca="false">I8*(1+Premissas!J47)</f>
        <v>843.3152</v>
      </c>
      <c r="K8" s="47" t="n">
        <f aca="false">J8*(1+Premissas!K47)</f>
        <v>742.117376</v>
      </c>
      <c r="L8" s="47" t="n">
        <f aca="false">K8*(1+Premissas!L47)</f>
        <v>682.74798592</v>
      </c>
      <c r="M8" s="47" t="n">
        <f aca="false">L8*(1+Premissas!M47)</f>
        <v>730.5403449344</v>
      </c>
    </row>
    <row r="9" customFormat="false" ht="15" hidden="false" customHeight="false" outlineLevel="0" collapsed="false">
      <c r="B9" s="7" t="s">
        <v>142</v>
      </c>
      <c r="D9" s="33" t="n">
        <f aca="false">SUM(D6:D8)</f>
        <v>30758</v>
      </c>
      <c r="E9" s="33" t="n">
        <f aca="false">SUM(E6:E8)</f>
        <v>15540</v>
      </c>
      <c r="F9" s="33" t="n">
        <f aca="false">SUM(F6:F8)</f>
        <v>25111</v>
      </c>
      <c r="G9" s="33" t="n">
        <f aca="false">SUM(G6:G8)</f>
        <v>37378</v>
      </c>
      <c r="H9" s="33" t="n">
        <f aca="false">SUM(H6:H8)</f>
        <v>133188</v>
      </c>
      <c r="I9" s="33" t="n">
        <f aca="false">SUM(I6:I8)</f>
        <v>272846.642</v>
      </c>
      <c r="J9" s="33" t="n">
        <f aca="false">SUM(J6:J8)</f>
        <v>300523.2852776</v>
      </c>
      <c r="K9" s="33" t="n">
        <f aca="false">SUM(K6:K8)</f>
        <v>213415.16915122</v>
      </c>
      <c r="L9" s="33" t="n">
        <f aca="false">SUM(L6:L8)</f>
        <v>166705.42224971</v>
      </c>
      <c r="M9" s="33" t="n">
        <f aca="false">SUM(M6:M8)</f>
        <v>206885.893694546</v>
      </c>
    </row>
    <row r="10" customFormat="false" ht="15" hidden="false" customHeight="false" outlineLevel="0" collapsed="false">
      <c r="B10" s="2" t="s">
        <v>143</v>
      </c>
      <c r="D10" s="32" t="n">
        <v>30758</v>
      </c>
      <c r="E10" s="32" t="n">
        <v>15540</v>
      </c>
      <c r="F10" s="32" t="n">
        <v>25111</v>
      </c>
      <c r="G10" s="32" t="n">
        <v>37378</v>
      </c>
      <c r="H10" s="32" t="n">
        <v>133188</v>
      </c>
    </row>
    <row r="11" customFormat="false" ht="15" hidden="false" customHeight="false" outlineLevel="0" collapsed="false">
      <c r="B11" s="2" t="s">
        <v>144</v>
      </c>
      <c r="D11" s="48" t="n">
        <f aca="false">D9-D10</f>
        <v>0</v>
      </c>
      <c r="E11" s="48" t="n">
        <f aca="false">E9-E10</f>
        <v>0</v>
      </c>
      <c r="F11" s="48" t="n">
        <f aca="false">F9-F10</f>
        <v>0</v>
      </c>
      <c r="G11" s="48" t="n">
        <f aca="false">G9-G10</f>
        <v>0</v>
      </c>
      <c r="H11" s="48" t="n">
        <f aca="false">H9-H10</f>
        <v>0</v>
      </c>
      <c r="I11" s="48" t="n">
        <f aca="false">I9-DRE!I5</f>
        <v>0</v>
      </c>
      <c r="J11" s="48" t="n">
        <f aca="false">J9-DRE!J5</f>
        <v>0</v>
      </c>
      <c r="K11" s="48" t="n">
        <f aca="false">K9-DRE!K5</f>
        <v>0</v>
      </c>
      <c r="L11" s="48" t="n">
        <f aca="false">L9-DRE!L5</f>
        <v>0</v>
      </c>
      <c r="M11" s="48" t="n">
        <f aca="false">M9-DRE!M5</f>
        <v>0</v>
      </c>
    </row>
    <row r="12" customFormat="false" ht="15" hidden="false" customHeight="false" outlineLevel="0" collapsed="false">
      <c r="B12" s="2" t="s">
        <v>145</v>
      </c>
      <c r="E12" s="16" t="n">
        <f aca="false">IFERROR(E6/D6-1,"")</f>
        <v>-0.50960421692129</v>
      </c>
      <c r="F12" s="16" t="n">
        <f aca="false">IFERROR(F6/E6-1,"")</f>
        <v>0.603206412825651</v>
      </c>
      <c r="G12" s="16" t="n">
        <f aca="false">IFERROR(G6/F6-1,"")</f>
        <v>0.62375</v>
      </c>
      <c r="H12" s="16" t="n">
        <f aca="false">IFERROR(H6/G6-1,"")</f>
        <v>2.5229547204143</v>
      </c>
      <c r="I12" s="16" t="n">
        <f aca="false">IFERROR(I6/H6-1,"")</f>
        <v>1.024</v>
      </c>
      <c r="J12" s="16" t="n">
        <f aca="false">IFERROR(J6/I6-1,"")</f>
        <v>0.1571</v>
      </c>
      <c r="K12" s="16" t="n">
        <f aca="false">IFERROR(K6/J6-1,"")</f>
        <v>-0.2785</v>
      </c>
      <c r="L12" s="16" t="n">
        <f aca="false">IFERROR(L6/K6-1,"")</f>
        <v>-0.237</v>
      </c>
      <c r="M12" s="16" t="n">
        <f aca="false">IFERROR(M6/L6-1,"")</f>
        <v>0.2296</v>
      </c>
    </row>
    <row r="13" customFormat="false" ht="15" hidden="false" customHeight="false" outlineLevel="0" collapsed="false">
      <c r="B13" s="2" t="s">
        <v>146</v>
      </c>
      <c r="E13" s="16" t="n">
        <f aca="false">IFERROR(E7/D7-1,"")</f>
        <v>-0.461528613493791</v>
      </c>
      <c r="F13" s="16" t="n">
        <f aca="false">IFERROR(F7/E7-1,"")</f>
        <v>0.718972895863053</v>
      </c>
      <c r="G13" s="16" t="n">
        <f aca="false">IFERROR(G7/F7-1,"")</f>
        <v>0.176071922544952</v>
      </c>
      <c r="H13" s="16" t="n">
        <f aca="false">IFERROR(H7/G7-1,"")</f>
        <v>2.73809243796307</v>
      </c>
      <c r="I13" s="16" t="n">
        <f aca="false">IFERROR(I7/H7-1,"")</f>
        <v>1.1476</v>
      </c>
      <c r="J13" s="16" t="n">
        <f aca="false">IFERROR(J7/I7-1,"")</f>
        <v>-0.064</v>
      </c>
      <c r="K13" s="16" t="n">
        <f aca="false">IFERROR(K7/J7-1,"")</f>
        <v>-0.334</v>
      </c>
      <c r="L13" s="16" t="n">
        <f aca="false">IFERROR(L7/K7-1,"")</f>
        <v>-0.1488</v>
      </c>
      <c r="M13" s="16" t="n">
        <f aca="false">IFERROR(M7/L7-1,"")</f>
        <v>0.2852</v>
      </c>
    </row>
    <row r="14" customFormat="false" ht="15" hidden="false" customHeight="false" outlineLevel="0" collapsed="false">
      <c r="B14" s="2" t="s">
        <v>147</v>
      </c>
      <c r="E14" s="16" t="n">
        <f aca="false">IFERROR(E9/D9-1,"")</f>
        <v>-0.494765589440146</v>
      </c>
      <c r="F14" s="16" t="n">
        <f aca="false">IFERROR(F9/E9-1,"")</f>
        <v>0.615894465894466</v>
      </c>
      <c r="G14" s="16" t="n">
        <f aca="false">IFERROR(G9/F9-1,"")</f>
        <v>0.488511011110669</v>
      </c>
      <c r="H14" s="16" t="n">
        <f aca="false">IFERROR(H9/G9-1,"")</f>
        <v>2.56327251324308</v>
      </c>
      <c r="I14" s="16" t="n">
        <f aca="false">IFERROR(I9/H9-1,"")</f>
        <v>1.04858277021954</v>
      </c>
      <c r="J14" s="16" t="n">
        <f aca="false">IFERROR(J9/I9-1,"")</f>
        <v>0.101436627824065</v>
      </c>
      <c r="K14" s="16" t="n">
        <f aca="false">IFERROR(K9/J9-1,"")</f>
        <v>-0.28985479792661</v>
      </c>
      <c r="L14" s="16" t="n">
        <f aca="false">IFERROR(L9/K9-1,"")</f>
        <v>-0.218867979662744</v>
      </c>
      <c r="M14" s="16" t="n">
        <f aca="false">IFERROR(M9/L9-1,"")</f>
        <v>0.241026781868252</v>
      </c>
    </row>
    <row r="15" customFormat="false" ht="15" hidden="false" customHeight="false" outlineLevel="0" collapsed="false">
      <c r="B15" s="4" t="s">
        <v>148</v>
      </c>
      <c r="D15" s="42" t="n">
        <f aca="false">D6/D9</f>
        <v>0.727810650887574</v>
      </c>
      <c r="E15" s="42" t="n">
        <f aca="false">E6/E9</f>
        <v>0.706435006435007</v>
      </c>
      <c r="F15" s="42" t="n">
        <f aca="false">F6/F9</f>
        <v>0.700888057026801</v>
      </c>
      <c r="G15" s="42" t="n">
        <f aca="false">G6/G9</f>
        <v>0.764567392583873</v>
      </c>
      <c r="H15" s="42" t="n">
        <f aca="false">H6/H9</f>
        <v>0.755916448929333</v>
      </c>
      <c r="I15" s="42" t="n">
        <f aca="false">I6/I9</f>
        <v>0.74684553383655</v>
      </c>
      <c r="J15" s="42" t="n">
        <f aca="false">J6/J9</f>
        <v>0.784588913580517</v>
      </c>
      <c r="K15" s="42" t="n">
        <f aca="false">K6/K9</f>
        <v>0.797134022021937</v>
      </c>
      <c r="L15" s="42" t="n">
        <f aca="false">L6/L9</f>
        <v>0.778630555357519</v>
      </c>
      <c r="M15" s="42" t="n">
        <f aca="false">M6/M9</f>
        <v>0.771461297093299</v>
      </c>
    </row>
    <row r="16" customFormat="false" ht="15" hidden="false" customHeight="false" outlineLevel="0" collapsed="false">
      <c r="B16" s="4" t="s">
        <v>149</v>
      </c>
      <c r="D16" s="42" t="n">
        <f aca="false">D7/D9</f>
        <v>0.253950191820014</v>
      </c>
      <c r="E16" s="42" t="n">
        <f aca="false">E7/E9</f>
        <v>0.270656370656371</v>
      </c>
      <c r="F16" s="42" t="n">
        <f aca="false">F7/F9</f>
        <v>0.287921627971805</v>
      </c>
      <c r="G16" s="42" t="n">
        <f aca="false">G7/G9</f>
        <v>0.227486756915833</v>
      </c>
      <c r="H16" s="42" t="n">
        <f aca="false">H7/H9</f>
        <v>0.238647625912244</v>
      </c>
      <c r="I16" s="42" t="n">
        <f aca="false">I7/I9</f>
        <v>0.250182540271102</v>
      </c>
      <c r="J16" s="42" t="n">
        <f aca="false">J7/J9</f>
        <v>0.212604930486438</v>
      </c>
      <c r="K16" s="42" t="n">
        <f aca="false">K7/K9</f>
        <v>0.19938863670494</v>
      </c>
      <c r="L16" s="42" t="n">
        <f aca="false">L7/L9</f>
        <v>0.217273909076174</v>
      </c>
      <c r="M16" s="42" t="n">
        <f aca="false">M7/M9</f>
        <v>0.225007576004385</v>
      </c>
    </row>
    <row r="18" customFormat="false" ht="15" hidden="false" customHeight="false" outlineLevel="0" collapsed="false">
      <c r="B18" s="3" t="s">
        <v>150</v>
      </c>
    </row>
    <row r="19" customFormat="false" ht="15" hidden="false" customHeight="false" outlineLevel="0" collapsed="false">
      <c r="B19" s="4" t="s">
        <v>151</v>
      </c>
      <c r="C19" s="2" t="s">
        <v>152</v>
      </c>
      <c r="H19" s="49" t="n">
        <v>100</v>
      </c>
      <c r="I19" s="49" t="n">
        <f aca="false">H19*(1+Premissas!I11)</f>
        <v>115</v>
      </c>
      <c r="J19" s="49" t="n">
        <f aca="false">I19*(1+Premissas!J11)</f>
        <v>131.1</v>
      </c>
      <c r="K19" s="49" t="n">
        <f aca="false">J19*(1+Premissas!K11)</f>
        <v>145.521</v>
      </c>
      <c r="L19" s="49" t="n">
        <f aca="false">K19*(1+Premissas!L11)</f>
        <v>158.61789</v>
      </c>
      <c r="M19" s="49" t="n">
        <f aca="false">L19*(1+Premissas!M11)</f>
        <v>183.9967524</v>
      </c>
    </row>
    <row r="20" customFormat="false" ht="15" hidden="false" customHeight="false" outlineLevel="0" collapsed="false">
      <c r="B20" s="4" t="s">
        <v>153</v>
      </c>
      <c r="H20" s="49" t="n">
        <v>100</v>
      </c>
      <c r="I20" s="49" t="n">
        <f aca="false">H20*(1+Premissas!I17)</f>
        <v>176</v>
      </c>
      <c r="J20" s="49" t="n">
        <f aca="false">I20*(1+Premissas!J17)</f>
        <v>178.64</v>
      </c>
      <c r="K20" s="49" t="n">
        <f aca="false">J20*(1+Premissas!K17)</f>
        <v>116.116</v>
      </c>
      <c r="L20" s="49" t="n">
        <f aca="false">K20*(1+Premissas!L17)</f>
        <v>81.2812</v>
      </c>
      <c r="M20" s="49" t="n">
        <f aca="false">L20*(1+Premissas!M17)</f>
        <v>86.158072</v>
      </c>
    </row>
    <row r="21" customFormat="false" ht="15" hidden="false" customHeight="false" outlineLevel="0" collapsed="false">
      <c r="B21" s="4" t="s">
        <v>154</v>
      </c>
      <c r="H21" s="49" t="n">
        <v>100</v>
      </c>
      <c r="I21" s="49" t="n">
        <f aca="false">H21*(1+Premissas!I23)</f>
        <v>124</v>
      </c>
      <c r="J21" s="49" t="n">
        <f aca="false">I21*(1+Premissas!J23)</f>
        <v>126.48</v>
      </c>
      <c r="K21" s="49" t="n">
        <f aca="false">J21*(1+Premissas!K23)</f>
        <v>135.3336</v>
      </c>
      <c r="L21" s="49" t="n">
        <f aca="false">K21*(1+Premissas!L23)</f>
        <v>132.626928</v>
      </c>
      <c r="M21" s="49" t="n">
        <f aca="false">L21*(1+Premissas!M23)</f>
        <v>120.69050448</v>
      </c>
    </row>
    <row r="22" customFormat="false" ht="15" hidden="false" customHeight="false" outlineLevel="0" collapsed="false">
      <c r="B22" s="4" t="s">
        <v>155</v>
      </c>
      <c r="H22" s="49" t="n">
        <v>100</v>
      </c>
      <c r="I22" s="49" t="n">
        <f aca="false">H22*(1+Premissas!I29)</f>
        <v>118</v>
      </c>
      <c r="J22" s="49" t="n">
        <f aca="false">I22*(1+Premissas!J29)</f>
        <v>138.06</v>
      </c>
      <c r="K22" s="49" t="n">
        <f aca="false">J22*(1+Premissas!K29)</f>
        <v>153.2466</v>
      </c>
      <c r="L22" s="49" t="n">
        <f aca="false">K22*(1+Premissas!L29)</f>
        <v>171.636192</v>
      </c>
      <c r="M22" s="49" t="n">
        <f aca="false">L22*(1+Premissas!M29)</f>
        <v>204.24706848</v>
      </c>
    </row>
    <row r="23" customFormat="false" ht="15" hidden="false" customHeight="false" outlineLevel="0" collapsed="false">
      <c r="B23" s="4" t="s">
        <v>156</v>
      </c>
      <c r="H23" s="49" t="n">
        <v>100</v>
      </c>
      <c r="I23" s="49" t="n">
        <f aca="false">H23*(1+Premissas!I35)</f>
        <v>182</v>
      </c>
      <c r="J23" s="49" t="n">
        <f aca="false">I23*(1+Premissas!J35)</f>
        <v>145.6</v>
      </c>
      <c r="K23" s="49" t="n">
        <f aca="false">J23*(1+Premissas!K35)</f>
        <v>87.36</v>
      </c>
      <c r="L23" s="49" t="n">
        <f aca="false">K23*(1+Premissas!L35)</f>
        <v>66.3936</v>
      </c>
      <c r="M23" s="49" t="n">
        <f aca="false">L23*(1+Premissas!M35)</f>
        <v>71.705088</v>
      </c>
    </row>
    <row r="24" customFormat="false" ht="15" hidden="false" customHeight="false" outlineLevel="0" collapsed="false">
      <c r="B24" s="4" t="s">
        <v>157</v>
      </c>
      <c r="H24" s="49" t="n">
        <v>100</v>
      </c>
      <c r="I24" s="49" t="n">
        <f aca="false">H24*(1+Premissas!I41)</f>
        <v>114</v>
      </c>
      <c r="J24" s="49" t="n">
        <f aca="false">I24*(1+Premissas!J41)</f>
        <v>110.58</v>
      </c>
      <c r="K24" s="49" t="n">
        <f aca="false">J24*(1+Premissas!K41)</f>
        <v>117.2148</v>
      </c>
      <c r="L24" s="49" t="n">
        <f aca="false">K24*(1+Premissas!L41)</f>
        <v>114.870504</v>
      </c>
      <c r="M24" s="49" t="n">
        <f aca="false">L24*(1+Premissas!M41)</f>
        <v>104.53215864</v>
      </c>
    </row>
    <row r="26" customFormat="false" ht="15" hidden="false" customHeight="false" outlineLevel="0" collapsed="false">
      <c r="B26" s="3" t="s">
        <v>158</v>
      </c>
    </row>
    <row r="27" customFormat="false" ht="15" hidden="false" customHeight="false" outlineLevel="0" collapsed="false">
      <c r="B27" s="4" t="s">
        <v>159</v>
      </c>
      <c r="C27" s="2" t="s">
        <v>160</v>
      </c>
      <c r="H27" s="17" t="n">
        <f aca="false">Premissas!$H$199</f>
        <v>0.815</v>
      </c>
      <c r="I27" s="42" t="n">
        <f aca="false">1-(1-H27)*(1+Premissas!I23)/(1+Premissas!I17)</f>
        <v>0.869659090909091</v>
      </c>
      <c r="J27" s="42" t="n">
        <f aca="false">1-(1-I27)*(1+Premissas!J23)/(1+Premissas!J17)</f>
        <v>0.869017017465293</v>
      </c>
      <c r="K27" s="42" t="n">
        <f aca="false">1-(1-J27)*(1+Premissas!K23)/(1+Premissas!K17)</f>
        <v>0.78438185951979</v>
      </c>
      <c r="L27" s="42" t="n">
        <f aca="false">1-(1-K27)*(1+Premissas!L23)/(1+Premissas!L17)</f>
        <v>0.698134603327707</v>
      </c>
      <c r="M27" s="42" t="n">
        <f aca="false">1-(1-L27)*(1+Premissas!M23)/(1+Premissas!M17)</f>
        <v>0.740851404743597</v>
      </c>
    </row>
    <row r="28" customFormat="false" ht="15" hidden="false" customHeight="false" outlineLevel="0" collapsed="false">
      <c r="B28" s="4" t="s">
        <v>161</v>
      </c>
      <c r="C28" s="2" t="s">
        <v>162</v>
      </c>
      <c r="H28" s="42" t="n">
        <f aca="false">(H34-H27*H6-H29*H8)/H7</f>
        <v>0.785905773163442</v>
      </c>
      <c r="I28" s="42" t="n">
        <f aca="false">1-(1-H28)*(1+Premissas!I41)/(1+Premissas!I35)</f>
        <v>0.865897022750727</v>
      </c>
      <c r="J28" s="42" t="n">
        <f aca="false">1-(1-I28)*(1+Premissas!J41)/(1+Premissas!J35)</f>
        <v>0.837400140085257</v>
      </c>
      <c r="K28" s="42" t="n">
        <f aca="false">1-(1-J28)*(1+Premissas!K41)/(1+Premissas!K35)</f>
        <v>0.712740247483954</v>
      </c>
      <c r="L28" s="42" t="n">
        <f aca="false">1-(1-K28)*(1+Premissas!L41)/(1+Premissas!L35)</f>
        <v>0.62958610859773</v>
      </c>
      <c r="M28" s="42" t="n">
        <f aca="false">1-(1-L28)*(1+Premissas!M41)/(1+Premissas!M35)</f>
        <v>0.687891998911051</v>
      </c>
    </row>
    <row r="29" customFormat="false" ht="15" hidden="false" customHeight="false" outlineLevel="0" collapsed="false">
      <c r="B29" s="4" t="s">
        <v>163</v>
      </c>
      <c r="H29" s="17" t="n">
        <f aca="false">Premissas!$H$200</f>
        <v>0.65</v>
      </c>
      <c r="I29" s="42" t="n">
        <f aca="false">H29</f>
        <v>0.65</v>
      </c>
      <c r="J29" s="42" t="n">
        <f aca="false">I29</f>
        <v>0.65</v>
      </c>
      <c r="K29" s="42" t="n">
        <f aca="false">J29</f>
        <v>0.65</v>
      </c>
      <c r="L29" s="42" t="n">
        <f aca="false">K29</f>
        <v>0.65</v>
      </c>
      <c r="M29" s="42" t="n">
        <f aca="false">L29</f>
        <v>0.65</v>
      </c>
    </row>
    <row r="30" customFormat="false" ht="15" hidden="false" customHeight="false" outlineLevel="0" collapsed="false">
      <c r="B30" s="4" t="s">
        <v>164</v>
      </c>
      <c r="H30" s="47" t="n">
        <f aca="false">H6*H27</f>
        <v>82053.385</v>
      </c>
      <c r="I30" s="47" t="n">
        <f aca="false">I6*I27</f>
        <v>177214.16901</v>
      </c>
      <c r="J30" s="47" t="n">
        <f aca="false">J6*J27</f>
        <v>204903.122237628</v>
      </c>
      <c r="K30" s="47" t="n">
        <f aca="false">K6*K27</f>
        <v>133439.427971905</v>
      </c>
      <c r="L30" s="47" t="n">
        <f aca="false">L6*L27</f>
        <v>90619.2227566282</v>
      </c>
      <c r="M30" s="47" t="n">
        <f aca="false">M6*M27</f>
        <v>118243.188320185</v>
      </c>
    </row>
    <row r="31" customFormat="false" ht="15" hidden="false" customHeight="false" outlineLevel="0" collapsed="false">
      <c r="B31" s="4" t="s">
        <v>165</v>
      </c>
      <c r="H31" s="47" t="n">
        <f aca="false">H7*H28</f>
        <v>24980.015</v>
      </c>
      <c r="I31" s="47" t="n">
        <f aca="false">I7*I28</f>
        <v>59107.400178</v>
      </c>
      <c r="J31" s="47" t="n">
        <f aca="false">J7*J28</f>
        <v>53503.7828746122</v>
      </c>
      <c r="K31" s="47" t="n">
        <f aca="false">K7*K28</f>
        <v>30328.9218812031</v>
      </c>
      <c r="L31" s="47" t="n">
        <f aca="false">L7*L28</f>
        <v>22804.0739641697</v>
      </c>
      <c r="M31" s="47" t="n">
        <f aca="false">M7*M28</f>
        <v>32021.9871462168</v>
      </c>
    </row>
    <row r="32" customFormat="false" ht="15" hidden="false" customHeight="false" outlineLevel="0" collapsed="false">
      <c r="B32" s="4" t="s">
        <v>166</v>
      </c>
      <c r="H32" s="47" t="n">
        <f aca="false">H8*H29</f>
        <v>470.6</v>
      </c>
      <c r="I32" s="47" t="n">
        <f aca="false">I8*I29</f>
        <v>527.072</v>
      </c>
      <c r="J32" s="47" t="n">
        <f aca="false">J8*J29</f>
        <v>548.15488</v>
      </c>
      <c r="K32" s="47" t="n">
        <f aca="false">K8*K29</f>
        <v>482.3762944</v>
      </c>
      <c r="L32" s="47" t="n">
        <f aca="false">L8*L29</f>
        <v>443.786190848</v>
      </c>
      <c r="M32" s="47" t="n">
        <f aca="false">M8*M29</f>
        <v>474.85122420736</v>
      </c>
    </row>
    <row r="33" customFormat="false" ht="15" hidden="false" customHeight="false" outlineLevel="0" collapsed="false">
      <c r="B33" s="7" t="s">
        <v>167</v>
      </c>
      <c r="D33" s="33" t="n">
        <f aca="false">D34</f>
        <v>13898</v>
      </c>
      <c r="E33" s="33" t="n">
        <f aca="false">E34</f>
        <v>-1416</v>
      </c>
      <c r="F33" s="33" t="n">
        <f aca="false">F34</f>
        <v>5613</v>
      </c>
      <c r="G33" s="33" t="n">
        <f aca="false">G34</f>
        <v>14873</v>
      </c>
      <c r="H33" s="33" t="n">
        <f aca="false">SUM(H30:H32)</f>
        <v>107504</v>
      </c>
      <c r="I33" s="33" t="n">
        <f aca="false">SUM(I30:I32)</f>
        <v>236848.641188</v>
      </c>
      <c r="J33" s="33" t="n">
        <f aca="false">SUM(J30:J32)</f>
        <v>258955.05999224</v>
      </c>
      <c r="K33" s="33" t="n">
        <f aca="false">SUM(K30:K32)</f>
        <v>164250.726147508</v>
      </c>
      <c r="L33" s="33" t="n">
        <f aca="false">SUM(L30:L32)</f>
        <v>113867.082911646</v>
      </c>
      <c r="M33" s="33" t="n">
        <f aca="false">SUM(M30:M32)</f>
        <v>150740.026690609</v>
      </c>
    </row>
    <row r="34" customFormat="false" ht="15" hidden="false" customHeight="false" outlineLevel="0" collapsed="false">
      <c r="B34" s="2" t="s">
        <v>168</v>
      </c>
      <c r="D34" s="32" t="n">
        <v>13898</v>
      </c>
      <c r="E34" s="32" t="n">
        <v>-1416</v>
      </c>
      <c r="F34" s="32" t="n">
        <v>5613</v>
      </c>
      <c r="G34" s="32" t="n">
        <v>14873</v>
      </c>
      <c r="H34" s="32" t="n">
        <v>107504</v>
      </c>
    </row>
    <row r="35" customFormat="false" ht="15" hidden="false" customHeight="false" outlineLevel="0" collapsed="false">
      <c r="B35" s="7" t="s">
        <v>169</v>
      </c>
      <c r="D35" s="29" t="n">
        <f aca="false">D33/D9</f>
        <v>0.451849925222706</v>
      </c>
      <c r="E35" s="29" t="n">
        <f aca="false">E33/E9</f>
        <v>-0.0911196911196911</v>
      </c>
      <c r="F35" s="29" t="n">
        <f aca="false">F33/F9</f>
        <v>0.223527537732468</v>
      </c>
      <c r="G35" s="29" t="n">
        <f aca="false">G33/G9</f>
        <v>0.397907860238643</v>
      </c>
      <c r="H35" s="29" t="n">
        <f aca="false">H33/H9</f>
        <v>0.807159804186563</v>
      </c>
      <c r="I35" s="29" t="n">
        <f aca="false">I33/I9</f>
        <v>0.868065076600796</v>
      </c>
      <c r="J35" s="29" t="n">
        <f aca="false">J33/J9</f>
        <v>0.861680517544714</v>
      </c>
      <c r="K35" s="29" t="n">
        <f aca="false">K33/K9</f>
        <v>0.769630044578154</v>
      </c>
      <c r="L35" s="29" t="n">
        <f aca="false">L33/L9</f>
        <v>0.683043666936538</v>
      </c>
      <c r="M35" s="29" t="n">
        <f aca="false">M33/M9</f>
        <v>0.72861432937118</v>
      </c>
    </row>
    <row r="37" customFormat="false" ht="15" hidden="false" customHeight="false" outlineLevel="0" collapsed="false">
      <c r="B37" s="3" t="s">
        <v>170</v>
      </c>
      <c r="C37" s="2"/>
    </row>
    <row r="38" customFormat="false" ht="15" hidden="false" customHeight="false" outlineLevel="0" collapsed="false">
      <c r="B38" s="4" t="s">
        <v>171</v>
      </c>
      <c r="C38" s="2" t="s">
        <v>172</v>
      </c>
      <c r="F38" s="50" t="s">
        <v>173</v>
      </c>
      <c r="G38" s="50" t="s">
        <v>173</v>
      </c>
      <c r="H38" s="32" t="n">
        <v>43101</v>
      </c>
    </row>
    <row r="39" customFormat="false" ht="15" hidden="false" customHeight="false" outlineLevel="0" collapsed="false">
      <c r="B39" s="4" t="s">
        <v>174</v>
      </c>
      <c r="F39" s="50" t="s">
        <v>173</v>
      </c>
      <c r="G39" s="50" t="s">
        <v>173</v>
      </c>
      <c r="H39" s="32" t="n">
        <v>37595</v>
      </c>
    </row>
    <row r="40" customFormat="false" ht="15" hidden="false" customHeight="false" outlineLevel="0" collapsed="false">
      <c r="B40" s="4" t="s">
        <v>175</v>
      </c>
      <c r="F40" s="50" t="s">
        <v>173</v>
      </c>
      <c r="G40" s="50" t="s">
        <v>173</v>
      </c>
      <c r="H40" s="32" t="n">
        <v>36635</v>
      </c>
    </row>
    <row r="41" customFormat="false" ht="15" hidden="false" customHeight="false" outlineLevel="0" collapsed="false">
      <c r="B41" s="4" t="s">
        <v>176</v>
      </c>
      <c r="F41" s="50" t="s">
        <v>173</v>
      </c>
      <c r="G41" s="50" t="s">
        <v>173</v>
      </c>
      <c r="H41" s="32" t="n">
        <v>15858</v>
      </c>
    </row>
    <row r="42" customFormat="false" ht="15" hidden="false" customHeight="false" outlineLevel="0" collapsed="false">
      <c r="B42" s="7" t="s">
        <v>177</v>
      </c>
      <c r="H42" s="33" t="n">
        <f aca="false">SUM(H38:H41)</f>
        <v>133189</v>
      </c>
    </row>
    <row r="43" customFormat="false" ht="15" hidden="false" customHeight="false" outlineLevel="0" collapsed="false">
      <c r="B43" s="2" t="s">
        <v>178</v>
      </c>
      <c r="H43" s="16" t="n">
        <f aca="false">H38/H42</f>
        <v>0.323607805449399</v>
      </c>
    </row>
    <row r="44" customFormat="false" ht="15" hidden="false" customHeight="false" outlineLevel="0" collapsed="false">
      <c r="B44" s="2" t="s">
        <v>179</v>
      </c>
      <c r="H44" s="16" t="n">
        <f aca="false">H39/H42</f>
        <v>0.282268055169721</v>
      </c>
    </row>
    <row r="45" customFormat="false" ht="15" hidden="false" customHeight="false" outlineLevel="0" collapsed="false">
      <c r="B45" s="2" t="s">
        <v>180</v>
      </c>
      <c r="H45" s="16" t="n">
        <f aca="false">H40/H42</f>
        <v>0.275060252723573</v>
      </c>
    </row>
    <row r="46" customFormat="false" ht="15" hidden="false" customHeight="false" outlineLevel="0" collapsed="false">
      <c r="B46" s="2" t="s">
        <v>181</v>
      </c>
      <c r="H46" s="16" t="n">
        <f aca="false">H41/H42</f>
        <v>0.119063886657307</v>
      </c>
    </row>
    <row r="48" customFormat="false" ht="15" hidden="false" customHeight="false" outlineLevel="0" collapsed="false">
      <c r="B48" s="3" t="s">
        <v>182</v>
      </c>
    </row>
    <row r="49" customFormat="false" ht="15" hidden="false" customHeight="false" outlineLevel="0" collapsed="false">
      <c r="B49" s="4" t="s">
        <v>183</v>
      </c>
      <c r="C49" s="2" t="s">
        <v>184</v>
      </c>
      <c r="F49" s="51" t="s">
        <v>185</v>
      </c>
      <c r="G49" s="51" t="s">
        <v>186</v>
      </c>
      <c r="H49" s="51" t="s">
        <v>187</v>
      </c>
    </row>
    <row r="51" customFormat="false" ht="15" hidden="false" customHeight="false" outlineLevel="0" collapsed="false">
      <c r="B51" s="7" t="s">
        <v>188</v>
      </c>
      <c r="D51" s="7" t="str">
        <f aca="false">IF(SUMPRODUCT(ABS(D11:M11))&lt;0.5,"ok","ERRO")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4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13" min="4" style="0" width="10"/>
  </cols>
  <sheetData>
    <row r="1" customFormat="false" ht="15" hidden="false" customHeight="false" outlineLevel="0" collapsed="false">
      <c r="B1" s="1" t="s">
        <v>189</v>
      </c>
    </row>
    <row r="2" customFormat="false" ht="15" hidden="false" customHeight="false" outlineLevel="0" collapsed="false">
      <c r="B2" s="2" t="s">
        <v>190</v>
      </c>
    </row>
    <row r="4" customFormat="false" ht="15" hidden="false" customHeight="false" outlineLevel="0" collapsed="false">
      <c r="B4" s="12" t="s">
        <v>16</v>
      </c>
      <c r="C4" s="13"/>
      <c r="D4" s="14" t="s">
        <v>65</v>
      </c>
      <c r="E4" s="14" t="s">
        <v>66</v>
      </c>
      <c r="F4" s="14" t="s">
        <v>17</v>
      </c>
      <c r="G4" s="14" t="s">
        <v>18</v>
      </c>
      <c r="H4" s="14" t="s">
        <v>19</v>
      </c>
      <c r="I4" s="14" t="s">
        <v>20</v>
      </c>
      <c r="J4" s="14" t="s">
        <v>21</v>
      </c>
      <c r="K4" s="14" t="s">
        <v>22</v>
      </c>
      <c r="L4" s="14" t="s">
        <v>67</v>
      </c>
      <c r="M4" s="14" t="s">
        <v>68</v>
      </c>
    </row>
    <row r="5" customFormat="false" ht="15" hidden="false" customHeight="false" outlineLevel="0" collapsed="false">
      <c r="B5" s="7" t="s">
        <v>23</v>
      </c>
      <c r="D5" s="15" t="n">
        <f aca="false">Operacional!D9</f>
        <v>30758</v>
      </c>
      <c r="E5" s="15" t="n">
        <f aca="false">Operacional!E9</f>
        <v>15540</v>
      </c>
      <c r="F5" s="15" t="n">
        <f aca="false">Operacional!F9</f>
        <v>25111</v>
      </c>
      <c r="G5" s="15" t="n">
        <f aca="false">Operacional!G9</f>
        <v>37378</v>
      </c>
      <c r="H5" s="15" t="n">
        <f aca="false">Operacional!H9</f>
        <v>133188</v>
      </c>
      <c r="I5" s="15" t="n">
        <f aca="false">Operacional!I9</f>
        <v>272846.642</v>
      </c>
      <c r="J5" s="15" t="n">
        <f aca="false">Operacional!J9</f>
        <v>300523.2852776</v>
      </c>
      <c r="K5" s="15" t="n">
        <f aca="false">Operacional!K9</f>
        <v>213415.16915122</v>
      </c>
      <c r="L5" s="15" t="n">
        <f aca="false">Operacional!L9</f>
        <v>166705.42224971</v>
      </c>
      <c r="M5" s="15" t="n">
        <f aca="false">Operacional!M9</f>
        <v>206885.893694546</v>
      </c>
    </row>
    <row r="6" customFormat="false" ht="15" hidden="false" customHeight="false" outlineLevel="0" collapsed="false">
      <c r="B6" s="2" t="s">
        <v>24</v>
      </c>
      <c r="E6" s="16" t="n">
        <f aca="false">IFERROR(E5/D5-1,"")</f>
        <v>-0.494765589440146</v>
      </c>
      <c r="F6" s="16" t="n">
        <f aca="false">IFERROR(F5/E5-1,"")</f>
        <v>0.615894465894466</v>
      </c>
      <c r="G6" s="16" t="n">
        <f aca="false">IFERROR(G5/F5-1,"")</f>
        <v>0.488511011110669</v>
      </c>
      <c r="H6" s="16" t="n">
        <f aca="false">IFERROR(H5/G5-1,"")</f>
        <v>2.56327251324308</v>
      </c>
      <c r="I6" s="16" t="n">
        <f aca="false">IFERROR(I5/H5-1,"")</f>
        <v>1.04858277021954</v>
      </c>
      <c r="J6" s="16" t="n">
        <f aca="false">IFERROR(J5/I5-1,"")</f>
        <v>0.101436627824065</v>
      </c>
      <c r="K6" s="16" t="n">
        <f aca="false">IFERROR(K5/J5-1,"")</f>
        <v>-0.28985479792661</v>
      </c>
      <c r="L6" s="16" t="n">
        <f aca="false">IFERROR(L5/K5-1,"")</f>
        <v>-0.218867979662744</v>
      </c>
      <c r="M6" s="16" t="n">
        <f aca="false">IFERROR(M5/L5-1,"")</f>
        <v>0.241026781868252</v>
      </c>
    </row>
    <row r="7" customFormat="false" ht="15" hidden="false" customHeight="false" outlineLevel="0" collapsed="false">
      <c r="B7" s="4" t="s">
        <v>191</v>
      </c>
      <c r="C7" s="2" t="s">
        <v>138</v>
      </c>
      <c r="D7" s="32" t="n">
        <v>-16860</v>
      </c>
      <c r="E7" s="32" t="n">
        <v>-16956</v>
      </c>
      <c r="F7" s="32" t="n">
        <v>-19498</v>
      </c>
      <c r="G7" s="32" t="n">
        <v>-22505</v>
      </c>
      <c r="H7" s="32" t="n">
        <v>-25684</v>
      </c>
      <c r="I7" s="47" t="n">
        <f aca="false">-(I5-Operacional!I33)</f>
        <v>-35998.000812</v>
      </c>
      <c r="J7" s="47" t="n">
        <f aca="false">-(J5-Operacional!J33)</f>
        <v>-41568.2252853599</v>
      </c>
      <c r="K7" s="47" t="n">
        <f aca="false">-(K5-Operacional!K33)</f>
        <v>-49164.4430037125</v>
      </c>
      <c r="L7" s="47" t="n">
        <f aca="false">-(L5-Operacional!L33)</f>
        <v>-52838.3393380641</v>
      </c>
      <c r="M7" s="47" t="n">
        <f aca="false">-(M5-Operacional!M33)</f>
        <v>-56145.8670039371</v>
      </c>
    </row>
    <row r="8" customFormat="false" ht="15" hidden="false" customHeight="false" outlineLevel="0" collapsed="false">
      <c r="B8" s="7" t="s">
        <v>192</v>
      </c>
      <c r="D8" s="33" t="n">
        <f aca="false">D5+D7</f>
        <v>13898</v>
      </c>
      <c r="E8" s="33" t="n">
        <f aca="false">E5+E7</f>
        <v>-1416</v>
      </c>
      <c r="F8" s="33" t="n">
        <f aca="false">F5+F7</f>
        <v>5613</v>
      </c>
      <c r="G8" s="33" t="n">
        <f aca="false">G5+G7</f>
        <v>14873</v>
      </c>
      <c r="H8" s="33" t="n">
        <f aca="false">H5+H7</f>
        <v>107504</v>
      </c>
      <c r="I8" s="33" t="n">
        <f aca="false">I5+I7</f>
        <v>236848.641188</v>
      </c>
      <c r="J8" s="33" t="n">
        <f aca="false">J5+J7</f>
        <v>258955.05999224</v>
      </c>
      <c r="K8" s="33" t="n">
        <f aca="false">K5+K7</f>
        <v>164250.726147508</v>
      </c>
      <c r="L8" s="33" t="n">
        <f aca="false">L5+L7</f>
        <v>113867.082911646</v>
      </c>
      <c r="M8" s="33" t="n">
        <f aca="false">M5+M7</f>
        <v>150740.026690609</v>
      </c>
    </row>
    <row r="9" customFormat="false" ht="15" hidden="false" customHeight="false" outlineLevel="0" collapsed="false">
      <c r="B9" s="2" t="s">
        <v>193</v>
      </c>
      <c r="D9" s="16" t="n">
        <f aca="false">D8/D5</f>
        <v>0.451849925222706</v>
      </c>
      <c r="E9" s="16" t="n">
        <f aca="false">E8/E5</f>
        <v>-0.0911196911196911</v>
      </c>
      <c r="F9" s="16" t="n">
        <f aca="false">F8/F5</f>
        <v>0.223527537732468</v>
      </c>
      <c r="G9" s="16" t="n">
        <f aca="false">G8/G5</f>
        <v>0.397907860238643</v>
      </c>
      <c r="H9" s="16" t="n">
        <f aca="false">H8/H5</f>
        <v>0.807159804186563</v>
      </c>
      <c r="I9" s="16" t="n">
        <f aca="false">I8/I5</f>
        <v>0.868065076600796</v>
      </c>
      <c r="J9" s="16" t="n">
        <f aca="false">J8/J5</f>
        <v>0.861680517544714</v>
      </c>
      <c r="K9" s="16" t="n">
        <f aca="false">K8/K5</f>
        <v>0.769630044578154</v>
      </c>
      <c r="L9" s="16" t="n">
        <f aca="false">L8/L5</f>
        <v>0.683043666936538</v>
      </c>
      <c r="M9" s="16" t="n">
        <f aca="false">M8/M5</f>
        <v>0.72861432937118</v>
      </c>
    </row>
    <row r="10" customFormat="false" ht="15" hidden="false" customHeight="false" outlineLevel="0" collapsed="false">
      <c r="B10" s="4" t="s">
        <v>194</v>
      </c>
      <c r="D10" s="32" t="n">
        <v>-3116</v>
      </c>
      <c r="E10" s="32" t="n">
        <v>-3114</v>
      </c>
      <c r="F10" s="32" t="n">
        <v>-3430</v>
      </c>
      <c r="G10" s="32" t="n">
        <v>-3798</v>
      </c>
      <c r="H10" s="32" t="n">
        <v>-5650</v>
      </c>
      <c r="I10" s="47" t="n">
        <f aca="false">H10*(1+Premissas!I53)</f>
        <v>-7458</v>
      </c>
      <c r="J10" s="47" t="n">
        <f aca="false">I10*(1+Premissas!J53)</f>
        <v>-8427.54</v>
      </c>
      <c r="K10" s="47" t="n">
        <f aca="false">J10*(1+Premissas!K53)</f>
        <v>-8680.3662</v>
      </c>
      <c r="L10" s="47" t="n">
        <f aca="false">K10*(1+Premissas!L53)</f>
        <v>-8506.758876</v>
      </c>
      <c r="M10" s="47" t="n">
        <f aca="false">L10*(1+Premissas!M53)</f>
        <v>-9017.16440856</v>
      </c>
    </row>
    <row r="11" customFormat="false" ht="15" hidden="false" customHeight="false" outlineLevel="0" collapsed="false">
      <c r="B11" s="4" t="s">
        <v>195</v>
      </c>
      <c r="D11" s="32" t="n">
        <v>-1066</v>
      </c>
      <c r="E11" s="32" t="n">
        <v>-920</v>
      </c>
      <c r="F11" s="32" t="n">
        <v>-1129</v>
      </c>
      <c r="G11" s="32" t="n">
        <v>-1205</v>
      </c>
      <c r="H11" s="32" t="n">
        <v>-1947</v>
      </c>
      <c r="I11" s="47" t="n">
        <f aca="false">H11*(1+Premissas!I59)</f>
        <v>-2433.75</v>
      </c>
      <c r="J11" s="47" t="n">
        <f aca="false">I11*(1+Premissas!J59)</f>
        <v>-2652.7875</v>
      </c>
      <c r="K11" s="47" t="n">
        <f aca="false">J11*(1+Premissas!K59)</f>
        <v>-2626.259625</v>
      </c>
      <c r="L11" s="47" t="n">
        <f aca="false">K11*(1+Premissas!L59)</f>
        <v>-2494.94664375</v>
      </c>
      <c r="M11" s="47" t="n">
        <f aca="false">L11*(1+Premissas!M59)</f>
        <v>-2619.6939759375</v>
      </c>
    </row>
    <row r="12" customFormat="false" ht="15" hidden="false" customHeight="false" outlineLevel="0" collapsed="false">
      <c r="B12" s="4" t="s">
        <v>196</v>
      </c>
      <c r="D12" s="32" t="n">
        <v>-14</v>
      </c>
      <c r="E12" s="32" t="n">
        <v>-295</v>
      </c>
      <c r="F12" s="32" t="n">
        <v>250</v>
      </c>
      <c r="G12" s="32" t="n">
        <v>-100</v>
      </c>
      <c r="H12" s="32" t="n">
        <v>-567</v>
      </c>
      <c r="I12" s="47" t="n">
        <f aca="false">0</f>
        <v>0</v>
      </c>
      <c r="J12" s="47" t="n">
        <f aca="false">0</f>
        <v>0</v>
      </c>
      <c r="K12" s="47" t="n">
        <f aca="false">0</f>
        <v>0</v>
      </c>
      <c r="L12" s="47" t="n">
        <f aca="false">0</f>
        <v>0</v>
      </c>
      <c r="M12" s="47" t="n">
        <f aca="false">0</f>
        <v>0</v>
      </c>
    </row>
    <row r="13" customFormat="false" ht="15" hidden="false" customHeight="false" outlineLevel="0" collapsed="false">
      <c r="B13" s="7" t="s">
        <v>28</v>
      </c>
      <c r="D13" s="33" t="n">
        <f aca="false">D8+D10+D11+D12</f>
        <v>9702</v>
      </c>
      <c r="E13" s="33" t="n">
        <f aca="false">E8+E10+E11+E12</f>
        <v>-5745</v>
      </c>
      <c r="F13" s="33" t="n">
        <f aca="false">F8+F10+F11+F12</f>
        <v>1304</v>
      </c>
      <c r="G13" s="33" t="n">
        <f aca="false">G8+G10+G11+G12</f>
        <v>9770</v>
      </c>
      <c r="H13" s="33" t="n">
        <f aca="false">H8+H10+H11+H12</f>
        <v>99340</v>
      </c>
      <c r="I13" s="33" t="n">
        <f aca="false">I8+I10+I11+I12</f>
        <v>226956.891188</v>
      </c>
      <c r="J13" s="33" t="n">
        <f aca="false">J8+J10+J11+J12</f>
        <v>247874.73249224</v>
      </c>
      <c r="K13" s="33" t="n">
        <f aca="false">K8+K10+K11+K12</f>
        <v>152944.100322508</v>
      </c>
      <c r="L13" s="33" t="n">
        <f aca="false">L8+L10+L11+L12</f>
        <v>102865.377391896</v>
      </c>
      <c r="M13" s="33" t="n">
        <f aca="false">M8+M10+M11+M12</f>
        <v>139103.168306111</v>
      </c>
    </row>
    <row r="14" customFormat="false" ht="15" hidden="false" customHeight="false" outlineLevel="0" collapsed="false">
      <c r="B14" s="2" t="s">
        <v>197</v>
      </c>
      <c r="D14" s="16" t="n">
        <f aca="false">D13/D5</f>
        <v>0.315430131998179</v>
      </c>
      <c r="E14" s="16" t="n">
        <f aca="false">E13/E5</f>
        <v>-0.36969111969112</v>
      </c>
      <c r="F14" s="16" t="n">
        <f aca="false">F13/F5</f>
        <v>0.0519294333160766</v>
      </c>
      <c r="G14" s="16" t="n">
        <f aca="false">G13/G5</f>
        <v>0.261383701642678</v>
      </c>
      <c r="H14" s="16" t="n">
        <f aca="false">H13/H5</f>
        <v>0.745862990659819</v>
      </c>
      <c r="I14" s="16" t="n">
        <f aca="false">I13/I5</f>
        <v>0.831811194465791</v>
      </c>
      <c r="J14" s="16" t="n">
        <f aca="false">J13/J5</f>
        <v>0.824810404502509</v>
      </c>
      <c r="K14" s="16" t="n">
        <f aca="false">K13/K5</f>
        <v>0.716650559239938</v>
      </c>
      <c r="L14" s="16" t="n">
        <f aca="false">L13/L5</f>
        <v>0.617048779840002</v>
      </c>
      <c r="M14" s="16" t="n">
        <f aca="false">M13/M5</f>
        <v>0.672366616312123</v>
      </c>
    </row>
    <row r="15" customFormat="false" ht="15" hidden="false" customHeight="false" outlineLevel="0" collapsed="false">
      <c r="B15" s="4" t="s">
        <v>198</v>
      </c>
      <c r="C15" s="2" t="s">
        <v>199</v>
      </c>
      <c r="D15" s="32" t="n">
        <v>7116</v>
      </c>
      <c r="E15" s="32" t="n">
        <v>7756</v>
      </c>
      <c r="F15" s="32" t="n">
        <v>7780</v>
      </c>
      <c r="G15" s="32" t="n">
        <v>8352</v>
      </c>
      <c r="H15" s="32" t="n">
        <v>9503</v>
      </c>
      <c r="I15" s="18" t="n">
        <f aca="false">-Suporte!I10</f>
        <v>12472.07</v>
      </c>
      <c r="J15" s="18" t="n">
        <f aca="false">-Suporte!J10</f>
        <v>16968.25845</v>
      </c>
      <c r="K15" s="18" t="n">
        <f aca="false">-Suporte!K10</f>
        <v>23019.147448</v>
      </c>
      <c r="L15" s="18" t="n">
        <f aca="false">-Suporte!L10</f>
        <v>27004.58909734</v>
      </c>
      <c r="M15" s="18" t="n">
        <f aca="false">-Suporte!M10</f>
        <v>29132.2683008388</v>
      </c>
    </row>
    <row r="16" customFormat="false" ht="15" hidden="false" customHeight="false" outlineLevel="0" collapsed="false">
      <c r="B16" s="7" t="s">
        <v>26</v>
      </c>
      <c r="D16" s="33" t="n">
        <f aca="false">D13+D15</f>
        <v>16818</v>
      </c>
      <c r="E16" s="33" t="n">
        <f aca="false">E13+E15</f>
        <v>2011</v>
      </c>
      <c r="F16" s="33" t="n">
        <f aca="false">F13+F15</f>
        <v>9084</v>
      </c>
      <c r="G16" s="33" t="n">
        <f aca="false">G13+G15</f>
        <v>18122</v>
      </c>
      <c r="H16" s="33" t="n">
        <f aca="false">H13+H15</f>
        <v>108843</v>
      </c>
      <c r="I16" s="33" t="n">
        <f aca="false">I13+I15</f>
        <v>239428.961188</v>
      </c>
      <c r="J16" s="33" t="n">
        <f aca="false">J13+J15</f>
        <v>264842.99094224</v>
      </c>
      <c r="K16" s="33" t="n">
        <f aca="false">K13+K15</f>
        <v>175963.247770508</v>
      </c>
      <c r="L16" s="33" t="n">
        <f aca="false">L13+L15</f>
        <v>129869.966489236</v>
      </c>
      <c r="M16" s="33" t="n">
        <f aca="false">M13+M15</f>
        <v>168235.43660695</v>
      </c>
    </row>
    <row r="17" customFormat="false" ht="15" hidden="false" customHeight="false" outlineLevel="0" collapsed="false">
      <c r="B17" s="2" t="s">
        <v>27</v>
      </c>
      <c r="D17" s="16" t="n">
        <f aca="false">D16/D5</f>
        <v>0.546784576370375</v>
      </c>
      <c r="E17" s="16" t="n">
        <f aca="false">E16/E5</f>
        <v>0.129407979407979</v>
      </c>
      <c r="F17" s="16" t="n">
        <f aca="false">F16/F5</f>
        <v>0.361753813069969</v>
      </c>
      <c r="G17" s="16" t="n">
        <f aca="false">G16/G5</f>
        <v>0.484830649044893</v>
      </c>
      <c r="H17" s="16" t="n">
        <f aca="false">H16/H5</f>
        <v>0.817213262456077</v>
      </c>
      <c r="I17" s="16" t="n">
        <f aca="false">I16/I5</f>
        <v>0.877522110710089</v>
      </c>
      <c r="J17" s="16" t="n">
        <f aca="false">J16/J5</f>
        <v>0.881272779570471</v>
      </c>
      <c r="K17" s="16" t="n">
        <f aca="false">K16/K5</f>
        <v>0.824511436887717</v>
      </c>
      <c r="L17" s="16" t="n">
        <f aca="false">L16/L5</f>
        <v>0.779038646353699</v>
      </c>
      <c r="M17" s="16" t="n">
        <f aca="false">M16/M5</f>
        <v>0.813179833591454</v>
      </c>
    </row>
    <row r="18" customFormat="false" ht="15" hidden="false" customHeight="false" outlineLevel="0" collapsed="false">
      <c r="B18" s="4" t="s">
        <v>200</v>
      </c>
      <c r="D18" s="32" t="n">
        <v>96</v>
      </c>
      <c r="E18" s="32" t="n">
        <v>468</v>
      </c>
      <c r="F18" s="32" t="n">
        <v>529</v>
      </c>
      <c r="G18" s="32" t="n">
        <v>496</v>
      </c>
      <c r="H18" s="32" t="n">
        <v>1084</v>
      </c>
      <c r="I18" s="18" t="n">
        <f aca="false">Suporte!I36</f>
        <v>3158.479</v>
      </c>
      <c r="J18" s="18" t="n">
        <f aca="false">Suporte!J36</f>
        <v>5325.28819776314</v>
      </c>
      <c r="K18" s="18" t="n">
        <f aca="false">Suporte!K36</f>
        <v>5412.09441278323</v>
      </c>
      <c r="L18" s="18" t="n">
        <f aca="false">Suporte!L36</f>
        <v>5381.09299763461</v>
      </c>
      <c r="M18" s="18" t="n">
        <f aca="false">Suporte!M36</f>
        <v>5654.70847376813</v>
      </c>
    </row>
    <row r="19" customFormat="false" ht="15" hidden="false" customHeight="false" outlineLevel="0" collapsed="false">
      <c r="B19" s="4" t="s">
        <v>201</v>
      </c>
      <c r="D19" s="32" t="n">
        <v>-189</v>
      </c>
      <c r="E19" s="32" t="n">
        <v>-388</v>
      </c>
      <c r="F19" s="32" t="n">
        <v>-562</v>
      </c>
      <c r="G19" s="32" t="n">
        <v>-477</v>
      </c>
      <c r="H19" s="32" t="n">
        <v>-106</v>
      </c>
      <c r="I19" s="18" t="n">
        <f aca="false">Suporte!I33</f>
        <v>-222.0075</v>
      </c>
      <c r="J19" s="18" t="n">
        <f aca="false">Suporte!J33</f>
        <v>-210.96</v>
      </c>
      <c r="K19" s="18" t="n">
        <f aca="false">Suporte!K33</f>
        <v>-210.96</v>
      </c>
      <c r="L19" s="18" t="n">
        <f aca="false">Suporte!L33</f>
        <v>-210.96</v>
      </c>
      <c r="M19" s="18" t="n">
        <f aca="false">Suporte!M33</f>
        <v>-205.0875</v>
      </c>
    </row>
    <row r="20" customFormat="false" ht="15" hidden="false" customHeight="false" outlineLevel="0" collapsed="false">
      <c r="B20" s="4" t="s">
        <v>202</v>
      </c>
      <c r="D20" s="47" t="n">
        <f aca="false">D18+D19</f>
        <v>-93</v>
      </c>
      <c r="E20" s="47" t="n">
        <f aca="false">E18+E19</f>
        <v>80</v>
      </c>
      <c r="F20" s="47" t="n">
        <f aca="false">F18+F19</f>
        <v>-33</v>
      </c>
      <c r="G20" s="47" t="n">
        <f aca="false">G18+G19</f>
        <v>19</v>
      </c>
      <c r="H20" s="47" t="n">
        <f aca="false">H18+H19</f>
        <v>978</v>
      </c>
      <c r="I20" s="47" t="n">
        <f aca="false">I18+I19</f>
        <v>2936.4715</v>
      </c>
      <c r="J20" s="47" t="n">
        <f aca="false">J18+J19</f>
        <v>5114.32819776314</v>
      </c>
      <c r="K20" s="47" t="n">
        <f aca="false">K18+K19</f>
        <v>5201.13441278323</v>
      </c>
      <c r="L20" s="47" t="n">
        <f aca="false">L18+L19</f>
        <v>5170.13299763461</v>
      </c>
      <c r="M20" s="47" t="n">
        <f aca="false">M18+M19</f>
        <v>5449.62097376813</v>
      </c>
    </row>
    <row r="21" customFormat="false" ht="15" hidden="false" customHeight="false" outlineLevel="0" collapsed="false">
      <c r="B21" s="4" t="s">
        <v>203</v>
      </c>
      <c r="D21" s="32" t="n">
        <v>-38</v>
      </c>
      <c r="E21" s="32" t="n">
        <v>7</v>
      </c>
      <c r="F21" s="32" t="n">
        <v>-31</v>
      </c>
      <c r="G21" s="32" t="n">
        <v>-135</v>
      </c>
      <c r="H21" s="32" t="n">
        <v>-647</v>
      </c>
      <c r="I21" s="47" t="n">
        <f aca="false">0</f>
        <v>0</v>
      </c>
      <c r="J21" s="47" t="n">
        <f aca="false">0</f>
        <v>0</v>
      </c>
      <c r="K21" s="47" t="n">
        <f aca="false">0</f>
        <v>0</v>
      </c>
      <c r="L21" s="47" t="n">
        <f aca="false">0</f>
        <v>0</v>
      </c>
      <c r="M21" s="47" t="n">
        <f aca="false">0</f>
        <v>0</v>
      </c>
    </row>
    <row r="22" customFormat="false" ht="15" hidden="false" customHeight="false" outlineLevel="0" collapsed="false">
      <c r="B22" s="7" t="s">
        <v>204</v>
      </c>
      <c r="D22" s="33" t="n">
        <f aca="false">D13+D20+D21</f>
        <v>9571</v>
      </c>
      <c r="E22" s="33" t="n">
        <f aca="false">E13+E20+E21</f>
        <v>-5658</v>
      </c>
      <c r="F22" s="33" t="n">
        <f aca="false">F13+F20+F21</f>
        <v>1240</v>
      </c>
      <c r="G22" s="33" t="n">
        <f aca="false">G13+G20+G21</f>
        <v>9654</v>
      </c>
      <c r="H22" s="33" t="n">
        <f aca="false">H13+H20+H21</f>
        <v>99671</v>
      </c>
      <c r="I22" s="33" t="n">
        <f aca="false">I13+I20+I21</f>
        <v>229893.362688</v>
      </c>
      <c r="J22" s="33" t="n">
        <f aca="false">J13+J20+J21</f>
        <v>252989.060690003</v>
      </c>
      <c r="K22" s="33" t="n">
        <f aca="false">K13+K20+K21</f>
        <v>158145.234735291</v>
      </c>
      <c r="L22" s="33" t="n">
        <f aca="false">L13+L20+L21</f>
        <v>108035.510389531</v>
      </c>
      <c r="M22" s="33" t="n">
        <f aca="false">M13+M20+M21</f>
        <v>144552.789279879</v>
      </c>
    </row>
    <row r="23" customFormat="false" ht="15" hidden="false" customHeight="false" outlineLevel="0" collapsed="false">
      <c r="B23" s="4" t="s">
        <v>205</v>
      </c>
      <c r="D23" s="32" t="n">
        <v>-888</v>
      </c>
      <c r="E23" s="32" t="n">
        <v>-177</v>
      </c>
      <c r="F23" s="32" t="n">
        <v>-451</v>
      </c>
      <c r="G23" s="32" t="n">
        <v>-1124</v>
      </c>
      <c r="H23" s="32" t="n">
        <v>-14761</v>
      </c>
      <c r="I23" s="47" t="n">
        <f aca="false">-I22*Premissas!I83</f>
        <v>-35633.47121664</v>
      </c>
      <c r="J23" s="47" t="n">
        <f aca="false">-J22*Premissas!J83</f>
        <v>-39972.2715890205</v>
      </c>
      <c r="K23" s="47" t="n">
        <f aca="false">-K22*Premissas!K83</f>
        <v>-23721.7852102937</v>
      </c>
      <c r="L23" s="47" t="n">
        <f aca="false">-L22*Premissas!L83</f>
        <v>-17825.8592142725</v>
      </c>
      <c r="M23" s="47" t="n">
        <f aca="false">-M22*Premissas!M83</f>
        <v>-22405.6823383813</v>
      </c>
    </row>
    <row r="24" customFormat="false" ht="15" hidden="false" customHeight="false" outlineLevel="0" collapsed="false">
      <c r="B24" s="2" t="s">
        <v>206</v>
      </c>
      <c r="D24" s="16" t="n">
        <f aca="false">IFERROR(-D23/D22,"")</f>
        <v>0.0927802737436005</v>
      </c>
      <c r="E24" s="16" t="n">
        <f aca="false">IFERROR(-E23/E22,"")</f>
        <v>-0.0312831389183457</v>
      </c>
      <c r="F24" s="16" t="n">
        <f aca="false">IFERROR(-F23/F22,"")</f>
        <v>0.363709677419355</v>
      </c>
      <c r="G24" s="16" t="n">
        <f aca="false">IFERROR(-G23/G22,"")</f>
        <v>0.116428423451419</v>
      </c>
      <c r="H24" s="16" t="n">
        <f aca="false">IFERROR(-H23/H22,"")</f>
        <v>0.148097239919335</v>
      </c>
      <c r="I24" s="16" t="n">
        <f aca="false">IFERROR(-I23/I22,"")</f>
        <v>0.155</v>
      </c>
      <c r="J24" s="16" t="n">
        <f aca="false">IFERROR(-J23/J22,"")</f>
        <v>0.158</v>
      </c>
      <c r="K24" s="16" t="n">
        <f aca="false">IFERROR(-K23/K22,"")</f>
        <v>0.15</v>
      </c>
      <c r="L24" s="16" t="n">
        <f aca="false">IFERROR(-L23/L22,"")</f>
        <v>0.165</v>
      </c>
      <c r="M24" s="16" t="n">
        <f aca="false">IFERROR(-M23/M22,"")</f>
        <v>0.155</v>
      </c>
    </row>
    <row r="25" customFormat="false" ht="15" hidden="false" customHeight="false" outlineLevel="0" collapsed="false">
      <c r="B25" s="4" t="s">
        <v>207</v>
      </c>
      <c r="D25" s="32" t="n">
        <v>4</v>
      </c>
      <c r="E25" s="32" t="n">
        <v>2</v>
      </c>
      <c r="F25" s="32" t="n">
        <v>-11</v>
      </c>
      <c r="G25" s="32" t="n">
        <v>9</v>
      </c>
      <c r="H25" s="32" t="n">
        <v>59</v>
      </c>
      <c r="I25" s="47" t="n">
        <f aca="false">0</f>
        <v>0</v>
      </c>
      <c r="J25" s="47" t="n">
        <f aca="false">0</f>
        <v>0</v>
      </c>
      <c r="K25" s="47" t="n">
        <f aca="false">0</f>
        <v>0</v>
      </c>
      <c r="L25" s="47" t="n">
        <f aca="false">0</f>
        <v>0</v>
      </c>
      <c r="M25" s="47" t="n">
        <f aca="false">0</f>
        <v>0</v>
      </c>
    </row>
    <row r="26" customFormat="false" ht="15" hidden="false" customHeight="false" outlineLevel="0" collapsed="false">
      <c r="B26" s="7" t="s">
        <v>208</v>
      </c>
      <c r="D26" s="33" t="n">
        <f aca="false">D22+D23+D25</f>
        <v>8687</v>
      </c>
      <c r="E26" s="33" t="n">
        <f aca="false">E22+E23+E25</f>
        <v>-5833</v>
      </c>
      <c r="F26" s="33" t="n">
        <f aca="false">F22+F23+F25</f>
        <v>778</v>
      </c>
      <c r="G26" s="33" t="n">
        <f aca="false">G22+G23+G25</f>
        <v>8539</v>
      </c>
      <c r="H26" s="33" t="n">
        <f aca="false">H22+H23+H25</f>
        <v>84969</v>
      </c>
      <c r="I26" s="33" t="n">
        <f aca="false">I22+I23+I25</f>
        <v>194259.89147136</v>
      </c>
      <c r="J26" s="33" t="n">
        <f aca="false">J22+J23+J25</f>
        <v>213016.789100983</v>
      </c>
      <c r="K26" s="33" t="n">
        <f aca="false">K22+K23+K25</f>
        <v>134423.449524998</v>
      </c>
      <c r="L26" s="33" t="n">
        <f aca="false">L22+L23+L25</f>
        <v>90209.651175258</v>
      </c>
      <c r="M26" s="33" t="n">
        <f aca="false">M22+M23+M25</f>
        <v>122147.106941498</v>
      </c>
    </row>
    <row r="27" customFormat="false" ht="15" hidden="false" customHeight="false" outlineLevel="0" collapsed="false">
      <c r="B27" s="2" t="s">
        <v>209</v>
      </c>
      <c r="D27" s="16" t="n">
        <f aca="false">D26/D5</f>
        <v>0.282430587164315</v>
      </c>
      <c r="E27" s="16" t="n">
        <f aca="false">E26/E5</f>
        <v>-0.375353925353925</v>
      </c>
      <c r="F27" s="16" t="n">
        <f aca="false">F26/F5</f>
        <v>0.0309824379753893</v>
      </c>
      <c r="G27" s="16" t="n">
        <f aca="false">G26/G5</f>
        <v>0.228449890309808</v>
      </c>
      <c r="H27" s="16" t="n">
        <f aca="false">H26/H5</f>
        <v>0.637962879538697</v>
      </c>
      <c r="I27" s="16" t="n">
        <f aca="false">I26/I5</f>
        <v>0.711974646443917</v>
      </c>
      <c r="J27" s="16" t="n">
        <f aca="false">J26/J5</f>
        <v>0.708819580832861</v>
      </c>
      <c r="K27" s="16" t="n">
        <f aca="false">K26/K5</f>
        <v>0.629868298770031</v>
      </c>
      <c r="L27" s="16" t="n">
        <f aca="false">L26/L5</f>
        <v>0.541132075716961</v>
      </c>
      <c r="M27" s="16" t="n">
        <f aca="false">M26/M5</f>
        <v>0.590408097720963</v>
      </c>
    </row>
    <row r="28" customFormat="false" ht="15" hidden="false" customHeight="false" outlineLevel="0" collapsed="false">
      <c r="B28" s="2" t="s">
        <v>210</v>
      </c>
      <c r="E28" s="16" t="str">
        <f aca="false">IF(OR(D26&lt;=0,E26&lt;=0),"n.m.",E26/D26-1)</f>
        <v>n.m.</v>
      </c>
      <c r="F28" s="16" t="str">
        <f aca="false">IF(OR(E26&lt;=0,F26&lt;=0),"n.m.",F26/E26-1)</f>
        <v>n.m.</v>
      </c>
      <c r="G28" s="16" t="n">
        <f aca="false">IF(OR(F26&lt;=0,G26&lt;=0),"n.m.",G26/F26-1)</f>
        <v>9.97557840616967</v>
      </c>
      <c r="H28" s="16" t="n">
        <f aca="false">IF(OR(G26&lt;=0,H26&lt;=0),"n.m.",H26/G26-1)</f>
        <v>8.95069680290432</v>
      </c>
      <c r="I28" s="16" t="n">
        <f aca="false">IF(OR(H26&lt;=0,I26&lt;=0),"n.m.",I26/H26-1)</f>
        <v>1.2862442946411</v>
      </c>
      <c r="J28" s="16" t="n">
        <f aca="false">IF(OR(I26&lt;=0,J26&lt;=0),"n.m.",J26/I26-1)</f>
        <v>0.0965556888123154</v>
      </c>
      <c r="K28" s="16" t="n">
        <f aca="false">IF(OR(J26&lt;=0,K26&lt;=0),"n.m.",K26/J26-1)</f>
        <v>-0.368953733213617</v>
      </c>
      <c r="L28" s="16" t="n">
        <f aca="false">IF(OR(K26&lt;=0,L26&lt;=0),"n.m.",L26/K26-1)</f>
        <v>-0.328914326376645</v>
      </c>
      <c r="M28" s="16" t="n">
        <f aca="false">IF(OR(L26&lt;=0,M26&lt;=0),"n.m.",M26/L26-1)</f>
        <v>0.354035908022662</v>
      </c>
    </row>
    <row r="30" customFormat="false" ht="15" hidden="false" customHeight="false" outlineLevel="0" collapsed="false">
      <c r="B30" s="4" t="s">
        <v>211</v>
      </c>
      <c r="D30" s="32" t="n">
        <v>1122</v>
      </c>
      <c r="E30" s="32" t="n">
        <v>1093</v>
      </c>
      <c r="F30" s="32" t="n">
        <v>1118</v>
      </c>
      <c r="G30" s="32" t="n">
        <v>1125</v>
      </c>
      <c r="H30" s="32" t="n">
        <v>1143</v>
      </c>
      <c r="I30" s="18" t="n">
        <f aca="false">Suporte!I45</f>
        <v>1114.86363636364</v>
      </c>
      <c r="J30" s="18" t="n">
        <f aca="false">Suporte!J45</f>
        <v>1013.66205533597</v>
      </c>
      <c r="K30" s="18" t="n">
        <f aca="false">Suporte!K45</f>
        <v>887.938943207822</v>
      </c>
      <c r="L30" s="18" t="n">
        <f aca="false">Suporte!L45</f>
        <v>778.65604847098</v>
      </c>
      <c r="M30" s="18" t="n">
        <f aca="false">Suporte!M45</f>
        <v>676.975492915424</v>
      </c>
    </row>
    <row r="31" customFormat="false" ht="15" hidden="false" customHeight="false" outlineLevel="0" collapsed="false">
      <c r="B31" s="7" t="s">
        <v>212</v>
      </c>
      <c r="C31" s="2" t="s">
        <v>213</v>
      </c>
      <c r="D31" s="46" t="n">
        <v>7.75</v>
      </c>
      <c r="E31" s="46" t="n">
        <v>-5.34</v>
      </c>
      <c r="F31" s="46" t="n">
        <v>0.7</v>
      </c>
      <c r="G31" s="46" t="n">
        <v>7.59</v>
      </c>
      <c r="H31" s="46" t="n">
        <v>74.33</v>
      </c>
      <c r="I31" s="52" t="n">
        <f aca="false">I26/I30</f>
        <v>174.245427992413</v>
      </c>
      <c r="J31" s="52" t="n">
        <f aca="false">J26/J30</f>
        <v>210.145766017039</v>
      </c>
      <c r="K31" s="52" t="n">
        <f aca="false">K26/K30</f>
        <v>151.388167568562</v>
      </c>
      <c r="L31" s="52" t="n">
        <f aca="false">L26/L30</f>
        <v>115.853015400573</v>
      </c>
      <c r="M31" s="52" t="n">
        <f aca="false">M26/M30</f>
        <v>180.430618567101</v>
      </c>
    </row>
    <row r="32" customFormat="false" ht="15" hidden="false" customHeight="false" outlineLevel="0" collapsed="false">
      <c r="B32" s="2" t="s">
        <v>214</v>
      </c>
      <c r="E32" s="16" t="str">
        <f aca="false">IF(OR(D31&lt;=0,E31&lt;=0),"n.m.",E31/D31-1)</f>
        <v>n.m.</v>
      </c>
      <c r="F32" s="16" t="str">
        <f aca="false">IF(OR(E31&lt;=0,F31&lt;=0),"n.m.",F31/E31-1)</f>
        <v>n.m.</v>
      </c>
      <c r="G32" s="16" t="n">
        <f aca="false">IF(OR(F31&lt;=0,G31&lt;=0),"n.m.",G31/F31-1)</f>
        <v>9.84285714285714</v>
      </c>
      <c r="H32" s="16" t="n">
        <f aca="false">IF(OR(G31&lt;=0,H31&lt;=0),"n.m.",H31/G31-1)</f>
        <v>8.7931488801054</v>
      </c>
      <c r="I32" s="16" t="n">
        <f aca="false">IF(OR(H31&lt;=0,I31&lt;=0),"n.m.",I31/H31-1)</f>
        <v>1.34421401846379</v>
      </c>
      <c r="J32" s="16" t="n">
        <f aca="false">IF(OR(I31&lt;=0,J31&lt;=0),"n.m.",J31/I31-1)</f>
        <v>0.206033170788208</v>
      </c>
      <c r="K32" s="16" t="n">
        <f aca="false">IF(OR(J31&lt;=0,K31&lt;=0),"n.m.",K31/J31-1)</f>
        <v>-0.279604008027992</v>
      </c>
      <c r="L32" s="16" t="n">
        <f aca="false">IF(OR(K31&lt;=0,L31&lt;=0),"n.m.",L31/K31-1)</f>
        <v>-0.234728729059324</v>
      </c>
      <c r="M32" s="16" t="n">
        <f aca="false">IF(OR(L31&lt;=0,M31&lt;=0),"n.m.",M31/L31-1)</f>
        <v>0.557409774301032</v>
      </c>
    </row>
    <row r="34" customFormat="false" ht="15" hidden="false" customHeight="false" outlineLevel="0" collapsed="false">
      <c r="B34" s="3" t="s">
        <v>215</v>
      </c>
    </row>
    <row r="35" customFormat="false" ht="15" hidden="false" customHeight="false" outlineLevel="0" collapsed="false">
      <c r="B35" s="4" t="s">
        <v>216</v>
      </c>
      <c r="C35" s="2" t="s">
        <v>199</v>
      </c>
      <c r="D35" s="32" t="n">
        <v>514</v>
      </c>
      <c r="E35" s="32" t="n">
        <v>596</v>
      </c>
      <c r="F35" s="32" t="n">
        <v>833</v>
      </c>
      <c r="G35" s="32" t="n">
        <v>972</v>
      </c>
      <c r="H35" s="32" t="n">
        <v>1333</v>
      </c>
      <c r="I35" s="47" t="n">
        <f aca="false">I5*Premissas!I65</f>
        <v>1991.7804866</v>
      </c>
      <c r="J35" s="47" t="n">
        <f aca="false">J5*Premissas!J65</f>
        <v>2283.97696810976</v>
      </c>
      <c r="K35" s="47" t="n">
        <f aca="false">K5*Premissas!K65</f>
        <v>2496.95747906928</v>
      </c>
      <c r="L35" s="47" t="n">
        <f aca="false">L5*Premissas!L65</f>
        <v>2550.59296042056</v>
      </c>
      <c r="M35" s="47" t="n">
        <f aca="false">M5*Premissas!M65</f>
        <v>2751.58238613746</v>
      </c>
    </row>
    <row r="36" customFormat="false" ht="15" hidden="false" customHeight="false" outlineLevel="0" collapsed="false">
      <c r="B36" s="4" t="s">
        <v>217</v>
      </c>
      <c r="C36" s="2" t="s">
        <v>218</v>
      </c>
      <c r="D36" s="47" t="n">
        <f aca="false">D38-D26-D35</f>
        <v>274</v>
      </c>
      <c r="E36" s="47" t="n">
        <f aca="false">E38-E26-E35</f>
        <v>375</v>
      </c>
      <c r="F36" s="47" t="n">
        <f aca="false">F38-F26-F35</f>
        <v>-141</v>
      </c>
      <c r="G36" s="47" t="n">
        <f aca="false">G38-G26-G35</f>
        <v>-41</v>
      </c>
      <c r="H36" s="47" t="n">
        <f aca="false">H38-H26-H35</f>
        <v>456</v>
      </c>
      <c r="I36" s="47" t="n">
        <f aca="false">0</f>
        <v>0</v>
      </c>
      <c r="J36" s="47" t="n">
        <f aca="false">0</f>
        <v>0</v>
      </c>
      <c r="K36" s="47" t="n">
        <f aca="false">0</f>
        <v>0</v>
      </c>
      <c r="L36" s="47" t="n">
        <f aca="false">0</f>
        <v>0</v>
      </c>
      <c r="M36" s="47" t="n">
        <f aca="false">0</f>
        <v>0</v>
      </c>
    </row>
    <row r="37" customFormat="false" ht="15" hidden="false" customHeight="false" outlineLevel="0" collapsed="false">
      <c r="B37" s="4" t="s">
        <v>219</v>
      </c>
      <c r="I37" s="47" t="n">
        <f aca="false">-(I35+I36)*Premissas!I83</f>
        <v>-308.725975423</v>
      </c>
      <c r="J37" s="47" t="n">
        <f aca="false">-(J35+J36)*Premissas!J83</f>
        <v>-360.868360961342</v>
      </c>
      <c r="K37" s="47" t="n">
        <f aca="false">-(K35+K36)*Premissas!K83</f>
        <v>-374.543621860392</v>
      </c>
      <c r="L37" s="47" t="n">
        <f aca="false">-(L35+L36)*Premissas!L83</f>
        <v>-420.847838469393</v>
      </c>
      <c r="M37" s="47" t="n">
        <f aca="false">-(M35+M36)*Premissas!M83</f>
        <v>-426.495269851306</v>
      </c>
    </row>
    <row r="38" customFormat="false" ht="15" hidden="false" customHeight="false" outlineLevel="0" collapsed="false">
      <c r="B38" s="7" t="s">
        <v>220</v>
      </c>
      <c r="C38" s="2" t="s">
        <v>213</v>
      </c>
      <c r="D38" s="32" t="n">
        <v>9475</v>
      </c>
      <c r="E38" s="32" t="n">
        <v>-4862</v>
      </c>
      <c r="F38" s="32" t="n">
        <v>1470</v>
      </c>
      <c r="G38" s="32" t="n">
        <v>9470</v>
      </c>
      <c r="H38" s="32" t="n">
        <v>86758</v>
      </c>
      <c r="I38" s="33" t="n">
        <f aca="false">I26+I35+I36+I37</f>
        <v>195942.945982537</v>
      </c>
      <c r="J38" s="33" t="n">
        <f aca="false">J26+J35+J36+J37</f>
        <v>214939.897708131</v>
      </c>
      <c r="K38" s="33" t="n">
        <f aca="false">K26+K35+K36+K37</f>
        <v>136545.863382206</v>
      </c>
      <c r="L38" s="33" t="n">
        <f aca="false">L26+L35+L36+L37</f>
        <v>92339.3962972092</v>
      </c>
      <c r="M38" s="33" t="n">
        <f aca="false">M26+M35+M36+M37</f>
        <v>124472.194057784</v>
      </c>
    </row>
    <row r="39" customFormat="false" ht="15" hidden="false" customHeight="false" outlineLevel="0" collapsed="false">
      <c r="B39" s="7" t="s">
        <v>30</v>
      </c>
      <c r="D39" s="46" t="n">
        <v>8.35</v>
      </c>
      <c r="E39" s="46" t="n">
        <v>-4.45</v>
      </c>
      <c r="F39" s="46" t="n">
        <v>1.3</v>
      </c>
      <c r="G39" s="46" t="n">
        <v>8.29</v>
      </c>
      <c r="H39" s="46" t="n">
        <v>75.52</v>
      </c>
      <c r="I39" s="52" t="n">
        <f aca="false">I38/I30</f>
        <v>175.755078550814</v>
      </c>
      <c r="J39" s="52" t="n">
        <f aca="false">J38/J30</f>
        <v>212.042955121657</v>
      </c>
      <c r="K39" s="52" t="n">
        <f aca="false">K38/K30</f>
        <v>153.778437612965</v>
      </c>
      <c r="L39" s="52" t="n">
        <f aca="false">L38/L30</f>
        <v>118.588170577411</v>
      </c>
      <c r="M39" s="52" t="n">
        <f aca="false">M38/M30</f>
        <v>183.865140408169</v>
      </c>
    </row>
    <row r="40" customFormat="false" ht="15" hidden="false" customHeight="false" outlineLevel="0" collapsed="false">
      <c r="B40" s="2" t="s">
        <v>221</v>
      </c>
      <c r="E40" s="16" t="str">
        <f aca="false">IF(OR(D39&lt;=0,E39&lt;=0),"n.m.",E39/D39-1)</f>
        <v>n.m.</v>
      </c>
      <c r="F40" s="16" t="str">
        <f aca="false">IF(OR(E39&lt;=0,F39&lt;=0),"n.m.",F39/E39-1)</f>
        <v>n.m.</v>
      </c>
      <c r="G40" s="16" t="n">
        <f aca="false">IF(OR(F39&lt;=0,G39&lt;=0),"n.m.",G39/F39-1)</f>
        <v>5.37692307692308</v>
      </c>
      <c r="H40" s="16" t="n">
        <f aca="false">IF(OR(G39&lt;=0,H39&lt;=0),"n.m.",H39/G39-1)</f>
        <v>8.10977080820265</v>
      </c>
      <c r="I40" s="16" t="n">
        <f aca="false">IF(OR(H39&lt;=0,I39&lt;=0),"n.m.",I39/H39-1)</f>
        <v>1.32726534098006</v>
      </c>
      <c r="J40" s="16" t="n">
        <f aca="false">IF(OR(I39&lt;=0,J39&lt;=0),"n.m.",J39/I39-1)</f>
        <v>0.20646843818144</v>
      </c>
      <c r="K40" s="16" t="n">
        <f aca="false">IF(OR(J39&lt;=0,K39&lt;=0),"n.m.",K39/J39-1)</f>
        <v>-0.274776954863995</v>
      </c>
      <c r="L40" s="16" t="n">
        <f aca="false">IF(OR(K39&lt;=0,L39&lt;=0),"n.m.",L39/K39-1)</f>
        <v>-0.228837459801241</v>
      </c>
      <c r="M40" s="16" t="n">
        <f aca="false">IF(OR(L39&lt;=0,M39&lt;=0),"n.m.",M39/L39-1)</f>
        <v>0.550450938849317</v>
      </c>
    </row>
    <row r="42" customFormat="false" ht="15" hidden="false" customHeight="false" outlineLevel="0" collapsed="false">
      <c r="B42" s="4" t="s">
        <v>222</v>
      </c>
      <c r="D42" s="46" t="n">
        <v>0.415</v>
      </c>
      <c r="E42" s="46" t="n">
        <v>0.46</v>
      </c>
      <c r="F42" s="46" t="n">
        <v>0.46</v>
      </c>
      <c r="G42" s="46" t="n">
        <v>0.46</v>
      </c>
      <c r="H42" s="46" t="n">
        <v>0.53</v>
      </c>
      <c r="I42" s="53" t="n">
        <f aca="false">H42*(1+Premissas!I113)</f>
        <v>0.6996</v>
      </c>
      <c r="J42" s="53" t="n">
        <f aca="false">I42*(1+Premissas!J113)</f>
        <v>0.902484</v>
      </c>
      <c r="K42" s="53" t="n">
        <f aca="false">J42*(1+Premissas!K113)</f>
        <v>1.06493112</v>
      </c>
      <c r="L42" s="53" t="n">
        <f aca="false">K42*(1+Premissas!L113)</f>
        <v>1.1288269872</v>
      </c>
      <c r="M42" s="53" t="n">
        <f aca="false">L42*(1+Premissas!M113)</f>
        <v>1.18526833656</v>
      </c>
    </row>
    <row r="43" customFormat="false" ht="15" hidden="false" customHeight="false" outlineLevel="0" collapsed="false">
      <c r="B43" s="2" t="s">
        <v>223</v>
      </c>
      <c r="D43" s="16" t="n">
        <f aca="false">IF(D31&lt;=0,"n.m.",D42/D31)</f>
        <v>0.0535483870967742</v>
      </c>
      <c r="E43" s="16" t="str">
        <f aca="false">IF(E31&lt;=0,"n.m.",E42/E31)</f>
        <v>n.m.</v>
      </c>
      <c r="F43" s="16" t="n">
        <f aca="false">IF(F31&lt;=0,"n.m.",F42/F31)</f>
        <v>0.657142857142857</v>
      </c>
      <c r="G43" s="16" t="n">
        <f aca="false">IF(G31&lt;=0,"n.m.",G42/G31)</f>
        <v>0.0606060606060606</v>
      </c>
      <c r="H43" s="16" t="n">
        <f aca="false">IF(H31&lt;=0,"n.m.",H42/H31)</f>
        <v>0.00713036459034038</v>
      </c>
      <c r="I43" s="16" t="n">
        <f aca="false">IF(I31&lt;=0,"n.m.",I42/I31)</f>
        <v>0.00401502643748255</v>
      </c>
      <c r="J43" s="16" t="n">
        <f aca="false">IF(J31&lt;=0,"n.m.",J42/J31)</f>
        <v>0.00429456189912876</v>
      </c>
      <c r="K43" s="16" t="n">
        <f aca="false">IF(K31&lt;=0,"n.m.",K42/K31)</f>
        <v>0.00703444091505834</v>
      </c>
      <c r="L43" s="16" t="n">
        <f aca="false">IF(L31&lt;=0,"n.m.",L42/L31)</f>
        <v>0.00974361334745556</v>
      </c>
      <c r="M43" s="16" t="n">
        <f aca="false">IF(M31&lt;=0,"n.m.",M42/M31)</f>
        <v>0.00656910864670791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3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13" min="4" style="0" width="10"/>
  </cols>
  <sheetData>
    <row r="1" customFormat="false" ht="15" hidden="false" customHeight="false" outlineLevel="0" collapsed="false">
      <c r="B1" s="1" t="s">
        <v>224</v>
      </c>
    </row>
    <row r="2" customFormat="false" ht="15" hidden="false" customHeight="false" outlineLevel="0" collapsed="false">
      <c r="B2" s="2" t="s">
        <v>225</v>
      </c>
    </row>
    <row r="4" customFormat="false" ht="15" hidden="false" customHeight="false" outlineLevel="0" collapsed="false">
      <c r="B4" s="12" t="s">
        <v>16</v>
      </c>
      <c r="C4" s="13"/>
      <c r="D4" s="14" t="s">
        <v>65</v>
      </c>
      <c r="E4" s="14" t="s">
        <v>66</v>
      </c>
      <c r="F4" s="14" t="s">
        <v>17</v>
      </c>
      <c r="G4" s="14" t="s">
        <v>18</v>
      </c>
      <c r="H4" s="14" t="s">
        <v>19</v>
      </c>
      <c r="I4" s="14" t="s">
        <v>20</v>
      </c>
      <c r="J4" s="14" t="s">
        <v>21</v>
      </c>
      <c r="K4" s="14" t="s">
        <v>22</v>
      </c>
      <c r="L4" s="14" t="s">
        <v>67</v>
      </c>
      <c r="M4" s="14" t="s">
        <v>68</v>
      </c>
    </row>
    <row r="5" customFormat="false" ht="15" hidden="false" customHeight="false" outlineLevel="0" collapsed="false">
      <c r="B5" s="7" t="s">
        <v>226</v>
      </c>
      <c r="C5" s="2" t="s">
        <v>227</v>
      </c>
      <c r="D5" s="7" t="n">
        <f aca="false">SUM(D6:D8)</f>
        <v>10978</v>
      </c>
      <c r="E5" s="7" t="n">
        <f aca="false">SUM(E6:E8)</f>
        <v>10438</v>
      </c>
      <c r="F5" s="7" t="n">
        <f aca="false">SUM(F6:F8)</f>
        <v>9152</v>
      </c>
      <c r="G5" s="7" t="n">
        <f aca="false">SUM(G6:G8)</f>
        <v>11936</v>
      </c>
      <c r="H5" s="7" t="n">
        <f aca="false">SUM(H6:H8)</f>
        <v>73453</v>
      </c>
      <c r="I5" s="15" t="n">
        <f aca="false">FC!I38</f>
        <v>129885.077994223</v>
      </c>
      <c r="J5" s="15" t="n">
        <f aca="false">FC!J38</f>
        <v>142423.537178506</v>
      </c>
      <c r="K5" s="15" t="n">
        <f aca="false">FC!K38</f>
        <v>149474.80548985</v>
      </c>
      <c r="L5" s="15" t="n">
        <f aca="false">FC!L38</f>
        <v>157075.235382448</v>
      </c>
      <c r="M5" s="15" t="n">
        <f aca="false">FC!M38</f>
        <v>170293.334299256</v>
      </c>
    </row>
    <row r="6" customFormat="false" ht="15" hidden="false" customHeight="false" outlineLevel="0" collapsed="false">
      <c r="B6" s="2" t="s">
        <v>228</v>
      </c>
      <c r="C6" s="2" t="s">
        <v>138</v>
      </c>
      <c r="D6" s="32" t="n">
        <v>8262</v>
      </c>
      <c r="E6" s="32" t="n">
        <v>8577</v>
      </c>
      <c r="F6" s="32" t="n">
        <v>7041</v>
      </c>
      <c r="G6" s="32" t="n">
        <v>9642</v>
      </c>
      <c r="H6" s="32" t="n">
        <v>38364</v>
      </c>
    </row>
    <row r="7" customFormat="false" ht="15" hidden="false" customHeight="false" outlineLevel="0" collapsed="false">
      <c r="B7" s="2" t="s">
        <v>229</v>
      </c>
      <c r="D7" s="32" t="n">
        <v>1069</v>
      </c>
      <c r="E7" s="32" t="n">
        <v>1017</v>
      </c>
      <c r="F7" s="32" t="n">
        <v>1065</v>
      </c>
      <c r="G7" s="32" t="n">
        <v>665</v>
      </c>
      <c r="H7" s="32" t="n">
        <v>5070</v>
      </c>
    </row>
    <row r="8" customFormat="false" ht="15" hidden="false" customHeight="false" outlineLevel="0" collapsed="false">
      <c r="B8" s="2" t="s">
        <v>230</v>
      </c>
      <c r="D8" s="32" t="n">
        <v>1647</v>
      </c>
      <c r="E8" s="32" t="n">
        <v>844</v>
      </c>
      <c r="F8" s="32" t="n">
        <v>1046</v>
      </c>
      <c r="G8" s="32" t="n">
        <v>1629</v>
      </c>
      <c r="H8" s="32" t="n">
        <v>30019</v>
      </c>
    </row>
    <row r="9" customFormat="false" ht="15" hidden="false" customHeight="false" outlineLevel="0" collapsed="false">
      <c r="B9" s="4" t="s">
        <v>231</v>
      </c>
      <c r="D9" s="32" t="n">
        <v>5130</v>
      </c>
      <c r="E9" s="32" t="n">
        <v>2443</v>
      </c>
      <c r="F9" s="32" t="n">
        <v>6615</v>
      </c>
      <c r="G9" s="32" t="n">
        <v>9265</v>
      </c>
      <c r="H9" s="32" t="n">
        <v>36197</v>
      </c>
      <c r="I9" s="18" t="n">
        <f aca="false">Suporte!I20</f>
        <v>53074.2783068493</v>
      </c>
      <c r="J9" s="18" t="n">
        <f aca="false">Suporte!J20</f>
        <v>52694.4938568942</v>
      </c>
      <c r="K9" s="18" t="n">
        <f aca="false">Suporte!K20</f>
        <v>32743.1492396393</v>
      </c>
      <c r="L9" s="18" t="n">
        <f aca="false">Suporte!L20</f>
        <v>25119.9951335179</v>
      </c>
      <c r="M9" s="18" t="n">
        <f aca="false">Suporte!M20</f>
        <v>34008.6400593774</v>
      </c>
    </row>
    <row r="10" customFormat="false" ht="15" hidden="false" customHeight="false" outlineLevel="0" collapsed="false">
      <c r="B10" s="4" t="s">
        <v>232</v>
      </c>
      <c r="D10" s="32" t="n">
        <v>6663</v>
      </c>
      <c r="E10" s="32" t="n">
        <v>8387</v>
      </c>
      <c r="F10" s="32" t="n">
        <v>8875</v>
      </c>
      <c r="G10" s="32" t="n">
        <v>8355</v>
      </c>
      <c r="H10" s="32" t="n">
        <v>10372</v>
      </c>
      <c r="I10" s="18" t="n">
        <f aca="false">Suporte!I21</f>
        <v>12919.8304284164</v>
      </c>
      <c r="J10" s="18" t="n">
        <f aca="false">Suporte!J21</f>
        <v>14577.3502370577</v>
      </c>
      <c r="K10" s="18" t="n">
        <f aca="false">Suporte!K21</f>
        <v>21282.1424509221</v>
      </c>
      <c r="L10" s="18" t="n">
        <f aca="false">Suporte!L21</f>
        <v>23885.8246322755</v>
      </c>
      <c r="M10" s="18" t="n">
        <f aca="false">Suporte!M21</f>
        <v>21843.0496289289</v>
      </c>
    </row>
    <row r="11" customFormat="false" ht="15" hidden="false" customHeight="false" outlineLevel="0" collapsed="false">
      <c r="B11" s="4" t="s">
        <v>233</v>
      </c>
      <c r="D11" s="32" t="n">
        <v>657</v>
      </c>
      <c r="E11" s="32" t="n">
        <v>820</v>
      </c>
      <c r="F11" s="32" t="n">
        <v>776</v>
      </c>
      <c r="G11" s="32" t="n">
        <v>914</v>
      </c>
      <c r="H11" s="32" t="n">
        <v>1067</v>
      </c>
      <c r="I11" s="47" t="n">
        <f aca="false">H11</f>
        <v>1067</v>
      </c>
      <c r="J11" s="47" t="n">
        <f aca="false">I11</f>
        <v>1067</v>
      </c>
      <c r="K11" s="47" t="n">
        <f aca="false">J11</f>
        <v>1067</v>
      </c>
      <c r="L11" s="47" t="n">
        <f aca="false">K11</f>
        <v>1067</v>
      </c>
      <c r="M11" s="47" t="n">
        <f aca="false">L11</f>
        <v>1067</v>
      </c>
    </row>
    <row r="12" customFormat="false" ht="15" hidden="false" customHeight="false" outlineLevel="0" collapsed="false">
      <c r="B12" s="2" t="s">
        <v>234</v>
      </c>
      <c r="D12" s="48" t="n">
        <f aca="false">D5-D8+D9+D10+D11</f>
        <v>21781</v>
      </c>
      <c r="E12" s="48" t="n">
        <f aca="false">E5-E8+E9+E10+E11</f>
        <v>21244</v>
      </c>
      <c r="F12" s="48" t="n">
        <f aca="false">F5-F8+F9+F10+F11</f>
        <v>24372</v>
      </c>
      <c r="G12" s="48" t="n">
        <f aca="false">G5-G8+G9+G10+G11</f>
        <v>28841</v>
      </c>
      <c r="H12" s="48" t="n">
        <f aca="false">H5-H8+H9+H10+H11</f>
        <v>91070</v>
      </c>
      <c r="I12" s="48" t="n">
        <f aca="false">I5-I8+I9+I10+I11</f>
        <v>196946.186729489</v>
      </c>
      <c r="J12" s="48" t="n">
        <f aca="false">J5-J8+J9+J10+J11</f>
        <v>210762.381272458</v>
      </c>
      <c r="K12" s="48" t="n">
        <f aca="false">K5-K8+K9+K10+K11</f>
        <v>204567.097180412</v>
      </c>
      <c r="L12" s="48" t="n">
        <f aca="false">L5-L8+L9+L10+L11</f>
        <v>207148.055148242</v>
      </c>
      <c r="M12" s="48" t="n">
        <f aca="false">M5-M8+M9+M10+M11</f>
        <v>227212.023987563</v>
      </c>
    </row>
    <row r="13" customFormat="false" ht="15" hidden="false" customHeight="false" outlineLevel="0" collapsed="false">
      <c r="B13" s="4" t="s">
        <v>235</v>
      </c>
      <c r="D13" s="32" t="n">
        <v>38549</v>
      </c>
      <c r="E13" s="32" t="n">
        <v>37928</v>
      </c>
      <c r="F13" s="32" t="n">
        <v>39749</v>
      </c>
      <c r="G13" s="32" t="n">
        <v>46590</v>
      </c>
      <c r="H13" s="32" t="n">
        <v>63310</v>
      </c>
      <c r="I13" s="18" t="n">
        <f aca="false">Suporte!I11</f>
        <v>102837.93</v>
      </c>
      <c r="J13" s="18" t="n">
        <f aca="false">Suporte!J11</f>
        <v>143869.67155</v>
      </c>
      <c r="K13" s="18" t="n">
        <f aca="false">Suporte!K11</f>
        <v>158850.524102</v>
      </c>
      <c r="L13" s="18" t="n">
        <f aca="false">Suporte!L11</f>
        <v>161845.93500466</v>
      </c>
      <c r="M13" s="18" t="n">
        <f aca="false">Suporte!M11</f>
        <v>168713.666703821</v>
      </c>
    </row>
    <row r="14" customFormat="false" ht="15" hidden="false" customHeight="false" outlineLevel="0" collapsed="false">
      <c r="B14" s="4" t="s">
        <v>236</v>
      </c>
      <c r="D14" s="32" t="n">
        <v>1649</v>
      </c>
      <c r="E14" s="32" t="n">
        <v>1554</v>
      </c>
      <c r="F14" s="32" t="n">
        <v>1566</v>
      </c>
      <c r="G14" s="32" t="n">
        <v>1603</v>
      </c>
      <c r="H14" s="32" t="n">
        <v>1150</v>
      </c>
      <c r="I14" s="47" t="n">
        <f aca="false">H14</f>
        <v>1150</v>
      </c>
      <c r="J14" s="47" t="n">
        <f aca="false">I14</f>
        <v>1150</v>
      </c>
      <c r="K14" s="47" t="n">
        <f aca="false">J14</f>
        <v>1150</v>
      </c>
      <c r="L14" s="47" t="n">
        <f aca="false">K14</f>
        <v>1150</v>
      </c>
      <c r="M14" s="47" t="n">
        <f aca="false">L14</f>
        <v>1150</v>
      </c>
    </row>
    <row r="15" customFormat="false" ht="15" hidden="false" customHeight="false" outlineLevel="0" collapsed="false">
      <c r="B15" s="4" t="s">
        <v>237</v>
      </c>
      <c r="D15" s="32" t="n">
        <v>2657</v>
      </c>
      <c r="E15" s="32" t="n">
        <v>2684</v>
      </c>
      <c r="F15" s="32" t="n">
        <v>2683</v>
      </c>
      <c r="G15" s="32" t="n">
        <v>4135</v>
      </c>
      <c r="H15" s="32" t="n">
        <v>10339</v>
      </c>
      <c r="I15" s="47" t="n">
        <f aca="false">H15</f>
        <v>10339</v>
      </c>
      <c r="J15" s="47" t="n">
        <f aca="false">I15</f>
        <v>10339</v>
      </c>
      <c r="K15" s="47" t="n">
        <f aca="false">J15</f>
        <v>10339</v>
      </c>
      <c r="L15" s="47" t="n">
        <f aca="false">K15</f>
        <v>10339</v>
      </c>
      <c r="M15" s="47" t="n">
        <f aca="false">L15</f>
        <v>10339</v>
      </c>
    </row>
    <row r="16" customFormat="false" ht="15" hidden="false" customHeight="false" outlineLevel="0" collapsed="false">
      <c r="B16" s="7" t="s">
        <v>238</v>
      </c>
      <c r="D16" s="33" t="n">
        <f aca="false">D5+D9+D10+D11+D13+D14+D15</f>
        <v>66283</v>
      </c>
      <c r="E16" s="33" t="n">
        <f aca="false">E5+E9+E10+E11+E13+E14+E15</f>
        <v>64254</v>
      </c>
      <c r="F16" s="33" t="n">
        <f aca="false">F5+F9+F10+F11+F13+F14+F15</f>
        <v>69416</v>
      </c>
      <c r="G16" s="33" t="n">
        <f aca="false">G5+G9+G10+G11+G13+G14+G15</f>
        <v>82798</v>
      </c>
      <c r="H16" s="33" t="n">
        <f aca="false">H5+H9+H10+H11+H13+H14+H15</f>
        <v>195888</v>
      </c>
      <c r="I16" s="33" t="n">
        <f aca="false">I5+I9+I10+I11+I13+I14+I15</f>
        <v>311273.116729489</v>
      </c>
      <c r="J16" s="33" t="n">
        <f aca="false">J5+J9+J10+J11+J13+J14+J15</f>
        <v>366121.052822458</v>
      </c>
      <c r="K16" s="33" t="n">
        <f aca="false">K5+K9+K10+K11+K13+K14+K15</f>
        <v>374906.621282412</v>
      </c>
      <c r="L16" s="33" t="n">
        <f aca="false">L5+L9+L10+L11+L13+L14+L15</f>
        <v>380482.990152902</v>
      </c>
      <c r="M16" s="33" t="n">
        <f aca="false">M5+M9+M10+M11+M13+M14+M15</f>
        <v>407414.690691384</v>
      </c>
    </row>
    <row r="18" customFormat="false" ht="15" hidden="false" customHeight="false" outlineLevel="0" collapsed="false">
      <c r="B18" s="4" t="s">
        <v>239</v>
      </c>
      <c r="D18" s="32" t="n">
        <v>6090</v>
      </c>
      <c r="E18" s="32" t="n">
        <v>3958</v>
      </c>
      <c r="F18" s="32" t="n">
        <v>7299</v>
      </c>
      <c r="G18" s="32" t="n">
        <v>9649</v>
      </c>
      <c r="H18" s="32" t="n">
        <v>22605</v>
      </c>
      <c r="I18" s="18" t="n">
        <f aca="false">Suporte!I22</f>
        <v>28009.4033715288</v>
      </c>
      <c r="J18" s="18" t="n">
        <f aca="false">Suporte!J22</f>
        <v>28471.3871817533</v>
      </c>
      <c r="K18" s="18" t="n">
        <f aca="false">Suporte!K22</f>
        <v>21282.1424509221</v>
      </c>
      <c r="L18" s="18" t="n">
        <f aca="false">Suporte!L22</f>
        <v>19977.2351469941</v>
      </c>
      <c r="M18" s="18" t="n">
        <f aca="false">Suporte!M22</f>
        <v>23073.6439742207</v>
      </c>
    </row>
    <row r="19" customFormat="false" ht="15" hidden="false" customHeight="false" outlineLevel="0" collapsed="false">
      <c r="B19" s="4" t="s">
        <v>240</v>
      </c>
      <c r="D19" s="32" t="n">
        <v>103</v>
      </c>
      <c r="E19" s="32" t="n">
        <v>278</v>
      </c>
      <c r="F19" s="32" t="n">
        <v>431</v>
      </c>
      <c r="G19" s="32" t="n">
        <v>560</v>
      </c>
      <c r="H19" s="32" t="n">
        <v>491</v>
      </c>
      <c r="I19" s="18" t="n">
        <f aca="false">Suporte!I30</f>
        <v>0</v>
      </c>
      <c r="J19" s="18" t="n">
        <f aca="false">Suporte!J30</f>
        <v>0</v>
      </c>
      <c r="K19" s="18" t="n">
        <f aca="false">Suporte!K30</f>
        <v>0</v>
      </c>
      <c r="L19" s="18" t="n">
        <f aca="false">Suporte!L30</f>
        <v>261</v>
      </c>
      <c r="M19" s="18" t="n">
        <f aca="false">Suporte!M30</f>
        <v>1066</v>
      </c>
    </row>
    <row r="20" customFormat="false" ht="15" hidden="false" customHeight="false" outlineLevel="0" collapsed="false">
      <c r="B20" s="4" t="s">
        <v>241</v>
      </c>
      <c r="D20" s="32" t="n">
        <v>1346</v>
      </c>
      <c r="E20" s="32" t="n">
        <v>529</v>
      </c>
      <c r="F20" s="32" t="n">
        <v>1518</v>
      </c>
      <c r="G20" s="32" t="n">
        <v>1245</v>
      </c>
      <c r="H20" s="32" t="n">
        <v>4386</v>
      </c>
      <c r="I20" s="47" t="n">
        <f aca="false">H20</f>
        <v>4386</v>
      </c>
      <c r="J20" s="47" t="n">
        <f aca="false">I20</f>
        <v>4386</v>
      </c>
      <c r="K20" s="47" t="n">
        <f aca="false">J20</f>
        <v>4386</v>
      </c>
      <c r="L20" s="47" t="n">
        <f aca="false">K20</f>
        <v>4386</v>
      </c>
      <c r="M20" s="47" t="n">
        <f aca="false">L20</f>
        <v>4386</v>
      </c>
    </row>
    <row r="21" customFormat="false" ht="15" hidden="false" customHeight="false" outlineLevel="0" collapsed="false">
      <c r="B21" s="2" t="s">
        <v>242</v>
      </c>
      <c r="D21" s="48" t="n">
        <f aca="false">D18+D19+D20</f>
        <v>7539</v>
      </c>
      <c r="E21" s="48" t="n">
        <f aca="false">E18+E19+E20</f>
        <v>4765</v>
      </c>
      <c r="F21" s="48" t="n">
        <f aca="false">F18+F19+F20</f>
        <v>9248</v>
      </c>
      <c r="G21" s="48" t="n">
        <f aca="false">G18+G19+G20</f>
        <v>11454</v>
      </c>
      <c r="H21" s="48" t="n">
        <f aca="false">H18+H19+H20</f>
        <v>27482</v>
      </c>
      <c r="I21" s="48" t="n">
        <f aca="false">I18+I19+I20</f>
        <v>32395.4033715288</v>
      </c>
      <c r="J21" s="48" t="n">
        <f aca="false">J18+J19+J20</f>
        <v>32857.3871817533</v>
      </c>
      <c r="K21" s="48" t="n">
        <f aca="false">K18+K19+K20</f>
        <v>25668.1424509221</v>
      </c>
      <c r="L21" s="48" t="n">
        <f aca="false">L18+L19+L20</f>
        <v>24624.2351469941</v>
      </c>
      <c r="M21" s="48" t="n">
        <f aca="false">M18+M19+M20</f>
        <v>28525.6439742207</v>
      </c>
    </row>
    <row r="22" customFormat="false" ht="15" hidden="false" customHeight="false" outlineLevel="0" collapsed="false">
      <c r="B22" s="4" t="s">
        <v>243</v>
      </c>
      <c r="D22" s="32" t="n">
        <v>6803</v>
      </c>
      <c r="E22" s="32" t="n">
        <v>13052</v>
      </c>
      <c r="F22" s="32" t="n">
        <v>12966</v>
      </c>
      <c r="G22" s="32" t="n">
        <v>14017</v>
      </c>
      <c r="H22" s="32" t="n">
        <v>4688</v>
      </c>
      <c r="I22" s="18" t="n">
        <f aca="false">Suporte!I31</f>
        <v>4688</v>
      </c>
      <c r="J22" s="18" t="n">
        <f aca="false">Suporte!J31</f>
        <v>4688</v>
      </c>
      <c r="K22" s="18" t="n">
        <f aca="false">Suporte!K31</f>
        <v>4688</v>
      </c>
      <c r="L22" s="18" t="n">
        <f aca="false">Suporte!L31</f>
        <v>4427</v>
      </c>
      <c r="M22" s="18" t="n">
        <f aca="false">Suporte!M31</f>
        <v>3361</v>
      </c>
    </row>
    <row r="23" customFormat="false" ht="15" hidden="false" customHeight="false" outlineLevel="0" collapsed="false">
      <c r="B23" s="4" t="s">
        <v>244</v>
      </c>
      <c r="C23" s="2" t="s">
        <v>245</v>
      </c>
      <c r="D23" s="32" t="n">
        <v>0</v>
      </c>
      <c r="E23" s="32" t="n">
        <v>0</v>
      </c>
      <c r="F23" s="32" t="n">
        <v>0</v>
      </c>
      <c r="G23" s="32" t="n">
        <v>0</v>
      </c>
      <c r="H23" s="32" t="n">
        <v>12895</v>
      </c>
      <c r="I23" s="47" t="n">
        <f aca="false">H23</f>
        <v>12895</v>
      </c>
      <c r="J23" s="47" t="n">
        <f aca="false">I23</f>
        <v>12895</v>
      </c>
      <c r="K23" s="47" t="n">
        <f aca="false">J23</f>
        <v>12895</v>
      </c>
      <c r="L23" s="47" t="n">
        <f aca="false">K23</f>
        <v>12895</v>
      </c>
      <c r="M23" s="47" t="n">
        <f aca="false">L23</f>
        <v>12895</v>
      </c>
    </row>
    <row r="24" customFormat="false" ht="15" hidden="false" customHeight="false" outlineLevel="0" collapsed="false">
      <c r="B24" s="4" t="s">
        <v>246</v>
      </c>
      <c r="D24" s="32" t="n">
        <v>2034</v>
      </c>
      <c r="E24" s="32" t="n">
        <v>2317</v>
      </c>
      <c r="F24" s="32" t="n">
        <v>2071</v>
      </c>
      <c r="G24" s="32" t="n">
        <v>3162</v>
      </c>
      <c r="H24" s="32" t="n">
        <v>12445</v>
      </c>
      <c r="I24" s="47" t="n">
        <f aca="false">H24</f>
        <v>12445</v>
      </c>
      <c r="J24" s="47" t="n">
        <f aca="false">I24</f>
        <v>12445</v>
      </c>
      <c r="K24" s="47" t="n">
        <f aca="false">J24</f>
        <v>12445</v>
      </c>
      <c r="L24" s="47" t="n">
        <f aca="false">K24</f>
        <v>12445</v>
      </c>
      <c r="M24" s="47" t="n">
        <f aca="false">L24</f>
        <v>12445</v>
      </c>
    </row>
    <row r="25" customFormat="false" ht="15" hidden="false" customHeight="false" outlineLevel="0" collapsed="false">
      <c r="B25" s="7" t="s">
        <v>247</v>
      </c>
      <c r="D25" s="33" t="n">
        <f aca="false">D21+D22+D23+D24</f>
        <v>16376</v>
      </c>
      <c r="E25" s="33" t="n">
        <f aca="false">E21+E22+E23+E24</f>
        <v>20134</v>
      </c>
      <c r="F25" s="33" t="n">
        <f aca="false">F21+F22+F23+F24</f>
        <v>24285</v>
      </c>
      <c r="G25" s="33" t="n">
        <f aca="false">G21+G22+G23+G24</f>
        <v>28633</v>
      </c>
      <c r="H25" s="33" t="n">
        <f aca="false">H21+H22+H23+H24</f>
        <v>57510</v>
      </c>
      <c r="I25" s="33" t="n">
        <f aca="false">I21+I22+I23+I24</f>
        <v>62423.4033715288</v>
      </c>
      <c r="J25" s="33" t="n">
        <f aca="false">J21+J22+J23+J24</f>
        <v>62885.3871817533</v>
      </c>
      <c r="K25" s="33" t="n">
        <f aca="false">K21+K22+K23+K24</f>
        <v>55696.1424509221</v>
      </c>
      <c r="L25" s="33" t="n">
        <f aca="false">L21+L22+L23+L24</f>
        <v>54391.2351469941</v>
      </c>
      <c r="M25" s="33" t="n">
        <f aca="false">M21+M22+M23+M24</f>
        <v>57226.6439742207</v>
      </c>
    </row>
    <row r="26" customFormat="false" ht="15" hidden="false" customHeight="false" outlineLevel="0" collapsed="false">
      <c r="B26" s="7" t="s">
        <v>248</v>
      </c>
      <c r="D26" s="32" t="n">
        <v>49907</v>
      </c>
      <c r="E26" s="32" t="n">
        <v>44120</v>
      </c>
      <c r="F26" s="32" t="n">
        <v>45131</v>
      </c>
      <c r="G26" s="32" t="n">
        <v>54165</v>
      </c>
      <c r="H26" s="32" t="n">
        <v>138378</v>
      </c>
      <c r="I26" s="33" t="n">
        <f aca="false">H26+DRE!I26+FC!I27+FC!I28+DRE!I35</f>
        <v>248849.71335796</v>
      </c>
      <c r="J26" s="33" t="n">
        <f aca="false">I26+DRE!J26+FC!J27+FC!J28+DRE!J35</f>
        <v>303235.665640705</v>
      </c>
      <c r="K26" s="33" t="n">
        <f aca="false">J26+DRE!K26+FC!K27+FC!K28+DRE!K35</f>
        <v>319210.47883149</v>
      </c>
      <c r="L26" s="33" t="n">
        <f aca="false">K26+DRE!L26+FC!L27+FC!L28+DRE!L35</f>
        <v>326091.755005908</v>
      </c>
      <c r="M26" s="33" t="n">
        <f aca="false">L26+DRE!M26+FC!M27+FC!M28+DRE!M35</f>
        <v>350188.046717163</v>
      </c>
    </row>
    <row r="27" customFormat="false" ht="15" hidden="false" customHeight="false" outlineLevel="0" collapsed="false">
      <c r="B27" s="7" t="s">
        <v>249</v>
      </c>
      <c r="D27" s="33" t="n">
        <f aca="false">D25+D26</f>
        <v>66283</v>
      </c>
      <c r="E27" s="33" t="n">
        <f aca="false">E25+E26</f>
        <v>64254</v>
      </c>
      <c r="F27" s="33" t="n">
        <f aca="false">F25+F26</f>
        <v>69416</v>
      </c>
      <c r="G27" s="33" t="n">
        <f aca="false">G25+G26</f>
        <v>82798</v>
      </c>
      <c r="H27" s="33" t="n">
        <f aca="false">H25+H26</f>
        <v>195888</v>
      </c>
      <c r="I27" s="33" t="n">
        <f aca="false">I25+I26</f>
        <v>311273.116729489</v>
      </c>
      <c r="J27" s="33" t="n">
        <f aca="false">J25+J26</f>
        <v>366121.052822458</v>
      </c>
      <c r="K27" s="33" t="n">
        <f aca="false">K25+K26</f>
        <v>374906.621282412</v>
      </c>
      <c r="L27" s="33" t="n">
        <f aca="false">L25+L26</f>
        <v>380482.990152902</v>
      </c>
      <c r="M27" s="33" t="n">
        <f aca="false">M25+M26</f>
        <v>407414.690691384</v>
      </c>
    </row>
    <row r="29" customFormat="false" ht="15" hidden="false" customHeight="false" outlineLevel="0" collapsed="false">
      <c r="B29" s="2" t="s">
        <v>250</v>
      </c>
      <c r="D29" s="48" t="n">
        <f aca="false">D16-D25-D26</f>
        <v>0</v>
      </c>
      <c r="E29" s="48" t="n">
        <f aca="false">E16-E25-E26</f>
        <v>0</v>
      </c>
      <c r="F29" s="48" t="n">
        <f aca="false">F16-F25-F26</f>
        <v>0</v>
      </c>
      <c r="G29" s="48" t="n">
        <f aca="false">G16-G25-G26</f>
        <v>0</v>
      </c>
      <c r="H29" s="48" t="n">
        <f aca="false">H16-H25-H26</f>
        <v>0</v>
      </c>
      <c r="I29" s="48" t="n">
        <f aca="false">I16-I25-I26</f>
        <v>0</v>
      </c>
      <c r="J29" s="48" t="n">
        <f aca="false">J16-J25-J26</f>
        <v>0</v>
      </c>
      <c r="K29" s="48" t="n">
        <f aca="false">K16-K25-K26</f>
        <v>0</v>
      </c>
      <c r="L29" s="48" t="n">
        <f aca="false">L16-L25-L26</f>
        <v>0</v>
      </c>
      <c r="M29" s="48" t="n">
        <f aca="false">M16-M25-M26</f>
        <v>0</v>
      </c>
    </row>
    <row r="30" customFormat="false" ht="15" hidden="false" customHeight="false" outlineLevel="0" collapsed="false">
      <c r="B30" s="7" t="s">
        <v>251</v>
      </c>
      <c r="D30" s="33" t="str">
        <f aca="false">IF(ABS(D29)&lt;0.5,"ok","ERRO")</f>
        <v>ok</v>
      </c>
      <c r="E30" s="33" t="str">
        <f aca="false">IF(ABS(E29)&lt;0.5,"ok","ERRO")</f>
        <v>ok</v>
      </c>
      <c r="F30" s="33" t="str">
        <f aca="false">IF(ABS(F29)&lt;0.5,"ok","ERRO")</f>
        <v>ok</v>
      </c>
      <c r="G30" s="33" t="str">
        <f aca="false">IF(ABS(G29)&lt;0.5,"ok","ERRO")</f>
        <v>ok</v>
      </c>
      <c r="H30" s="33" t="str">
        <f aca="false">IF(ABS(H29)&lt;0.5,"ok","ERRO")</f>
        <v>ok</v>
      </c>
      <c r="I30" s="33" t="str">
        <f aca="false">IF(ABS(I29)&lt;0.5,"ok","ERRO")</f>
        <v>ok</v>
      </c>
      <c r="J30" s="33" t="str">
        <f aca="false">IF(ABS(J29)&lt;0.5,"ok","ERRO")</f>
        <v>ok</v>
      </c>
      <c r="K30" s="33" t="str">
        <f aca="false">IF(ABS(K29)&lt;0.5,"ok","ERRO")</f>
        <v>ok</v>
      </c>
      <c r="L30" s="33" t="str">
        <f aca="false">IF(ABS(L29)&lt;0.5,"ok","ERRO")</f>
        <v>ok</v>
      </c>
      <c r="M30" s="33" t="str">
        <f aca="false">IF(ABS(M29)&lt;0.5,"ok","ERRO")</f>
        <v>ok</v>
      </c>
    </row>
    <row r="31" customFormat="false" ht="15" hidden="false" customHeight="false" outlineLevel="0" collapsed="false">
      <c r="B31" s="7" t="s">
        <v>252</v>
      </c>
      <c r="D31" s="7" t="str">
        <f aca="false">IF(COUNTIF(D30:M30,"ok")=10,"ok","ERRO")</f>
        <v>ok</v>
      </c>
    </row>
    <row r="33" customFormat="false" ht="15" hidden="false" customHeight="false" outlineLevel="0" collapsed="false">
      <c r="B33" s="2" t="s">
        <v>253</v>
      </c>
      <c r="D33" s="48" t="n">
        <f aca="false">D5-D19-D22</f>
        <v>4072</v>
      </c>
      <c r="E33" s="48" t="n">
        <f aca="false">E5-E19-E22</f>
        <v>-2892</v>
      </c>
      <c r="F33" s="48" t="n">
        <f aca="false">F5-F19-F22</f>
        <v>-4245</v>
      </c>
      <c r="G33" s="48" t="n">
        <f aca="false">G5-G19-G22</f>
        <v>-2641</v>
      </c>
      <c r="H33" s="48" t="n">
        <f aca="false">H5-H19-H22</f>
        <v>68274</v>
      </c>
      <c r="I33" s="48" t="n">
        <f aca="false">I5-I19-I22</f>
        <v>125197.077994223</v>
      </c>
      <c r="J33" s="48" t="n">
        <f aca="false">J5-J19-J22</f>
        <v>137735.537178506</v>
      </c>
      <c r="K33" s="48" t="n">
        <f aca="false">K5-K19-K22</f>
        <v>144786.80548985</v>
      </c>
      <c r="L33" s="48" t="n">
        <f aca="false">L5-L19-L22</f>
        <v>152387.235382448</v>
      </c>
      <c r="M33" s="48" t="n">
        <f aca="false">M5-M19-M22</f>
        <v>165866.334299256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4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13" min="4" style="0" width="10"/>
  </cols>
  <sheetData>
    <row r="1" customFormat="false" ht="15" hidden="false" customHeight="false" outlineLevel="0" collapsed="false">
      <c r="B1" s="1" t="s">
        <v>254</v>
      </c>
    </row>
    <row r="2" customFormat="false" ht="15" hidden="false" customHeight="false" outlineLevel="0" collapsed="false">
      <c r="B2" s="2" t="s">
        <v>255</v>
      </c>
    </row>
    <row r="4" customFormat="false" ht="15" hidden="false" customHeight="false" outlineLevel="0" collapsed="false">
      <c r="B4" s="12" t="s">
        <v>16</v>
      </c>
      <c r="C4" s="13"/>
      <c r="D4" s="14" t="s">
        <v>65</v>
      </c>
      <c r="E4" s="14" t="s">
        <v>66</v>
      </c>
      <c r="F4" s="14" t="s">
        <v>17</v>
      </c>
      <c r="G4" s="14" t="s">
        <v>18</v>
      </c>
      <c r="H4" s="14" t="s">
        <v>19</v>
      </c>
      <c r="I4" s="14" t="s">
        <v>20</v>
      </c>
      <c r="J4" s="14" t="s">
        <v>21</v>
      </c>
      <c r="K4" s="14" t="s">
        <v>22</v>
      </c>
      <c r="L4" s="14" t="s">
        <v>67</v>
      </c>
      <c r="M4" s="14" t="s">
        <v>68</v>
      </c>
    </row>
    <row r="5" customFormat="false" ht="15" hidden="false" customHeight="false" outlineLevel="0" collapsed="false">
      <c r="B5" s="4" t="s">
        <v>256</v>
      </c>
      <c r="D5" s="18" t="n">
        <f aca="false">DRE!D26</f>
        <v>8687</v>
      </c>
      <c r="E5" s="18" t="n">
        <f aca="false">DRE!E26</f>
        <v>-5833</v>
      </c>
      <c r="F5" s="18" t="n">
        <f aca="false">DRE!F26</f>
        <v>778</v>
      </c>
      <c r="G5" s="18" t="n">
        <f aca="false">DRE!G26</f>
        <v>8539</v>
      </c>
      <c r="H5" s="18" t="n">
        <f aca="false">DRE!H26</f>
        <v>84969</v>
      </c>
      <c r="I5" s="18" t="n">
        <f aca="false">DRE!I26</f>
        <v>194259.89147136</v>
      </c>
      <c r="J5" s="18" t="n">
        <f aca="false">DRE!J26</f>
        <v>213016.789100983</v>
      </c>
      <c r="K5" s="18" t="n">
        <f aca="false">DRE!K26</f>
        <v>134423.449524998</v>
      </c>
      <c r="L5" s="18" t="n">
        <f aca="false">DRE!L26</f>
        <v>90209.651175258</v>
      </c>
      <c r="M5" s="18" t="n">
        <f aca="false">DRE!M26</f>
        <v>122147.106941498</v>
      </c>
    </row>
    <row r="6" customFormat="false" ht="15" hidden="false" customHeight="false" outlineLevel="0" collapsed="false">
      <c r="B6" s="4" t="s">
        <v>257</v>
      </c>
      <c r="D6" s="18" t="n">
        <f aca="false">DRE!D15</f>
        <v>7116</v>
      </c>
      <c r="E6" s="18" t="n">
        <f aca="false">DRE!E15</f>
        <v>7756</v>
      </c>
      <c r="F6" s="18" t="n">
        <f aca="false">DRE!F15</f>
        <v>7780</v>
      </c>
      <c r="G6" s="18" t="n">
        <f aca="false">DRE!G15</f>
        <v>8352</v>
      </c>
      <c r="H6" s="18" t="n">
        <f aca="false">DRE!H15</f>
        <v>9503</v>
      </c>
      <c r="I6" s="18" t="n">
        <f aca="false">DRE!I15</f>
        <v>12472.07</v>
      </c>
      <c r="J6" s="18" t="n">
        <f aca="false">DRE!J15</f>
        <v>16968.25845</v>
      </c>
      <c r="K6" s="18" t="n">
        <f aca="false">DRE!K15</f>
        <v>23019.147448</v>
      </c>
      <c r="L6" s="18" t="n">
        <f aca="false">DRE!L15</f>
        <v>27004.58909734</v>
      </c>
      <c r="M6" s="18" t="n">
        <f aca="false">DRE!M15</f>
        <v>29132.2683008388</v>
      </c>
    </row>
    <row r="7" customFormat="false" ht="15" hidden="false" customHeight="false" outlineLevel="0" collapsed="false">
      <c r="B7" s="4" t="s">
        <v>216</v>
      </c>
      <c r="D7" s="18" t="n">
        <f aca="false">DRE!D35</f>
        <v>514</v>
      </c>
      <c r="E7" s="18" t="n">
        <f aca="false">DRE!E35</f>
        <v>596</v>
      </c>
      <c r="F7" s="18" t="n">
        <f aca="false">DRE!F35</f>
        <v>833</v>
      </c>
      <c r="G7" s="18" t="n">
        <f aca="false">DRE!G35</f>
        <v>972</v>
      </c>
      <c r="H7" s="18" t="n">
        <f aca="false">DRE!H35</f>
        <v>1333</v>
      </c>
      <c r="I7" s="18" t="n">
        <f aca="false">DRE!I35</f>
        <v>1991.7804866</v>
      </c>
      <c r="J7" s="18" t="n">
        <f aca="false">DRE!J35</f>
        <v>2283.97696810976</v>
      </c>
      <c r="K7" s="18" t="n">
        <f aca="false">DRE!K35</f>
        <v>2496.95747906928</v>
      </c>
      <c r="L7" s="18" t="n">
        <f aca="false">DRE!L35</f>
        <v>2550.59296042056</v>
      </c>
      <c r="M7" s="18" t="n">
        <f aca="false">DRE!M35</f>
        <v>2751.58238613746</v>
      </c>
    </row>
    <row r="8" customFormat="false" ht="15" hidden="false" customHeight="false" outlineLevel="0" collapsed="false">
      <c r="B8" s="4" t="s">
        <v>258</v>
      </c>
      <c r="C8" s="2" t="s">
        <v>259</v>
      </c>
      <c r="E8" s="32" t="n">
        <v>1932</v>
      </c>
      <c r="I8" s="47" t="n">
        <f aca="false">0</f>
        <v>0</v>
      </c>
      <c r="J8" s="47" t="n">
        <f aca="false">0</f>
        <v>0</v>
      </c>
      <c r="K8" s="47" t="n">
        <f aca="false">0</f>
        <v>0</v>
      </c>
      <c r="L8" s="47" t="n">
        <f aca="false">0</f>
        <v>0</v>
      </c>
      <c r="M8" s="47" t="n">
        <f aca="false">0</f>
        <v>0</v>
      </c>
    </row>
    <row r="9" customFormat="false" ht="15" hidden="false" customHeight="false" outlineLevel="0" collapsed="false">
      <c r="B9" s="4" t="s">
        <v>260</v>
      </c>
      <c r="D9" s="32" t="n">
        <v>190</v>
      </c>
      <c r="E9" s="32" t="n">
        <v>2763</v>
      </c>
      <c r="F9" s="32" t="n">
        <v>-3581</v>
      </c>
      <c r="G9" s="32" t="n">
        <v>-1776</v>
      </c>
      <c r="H9" s="32" t="n">
        <v>-25206</v>
      </c>
      <c r="I9" s="47" t="n">
        <f aca="false">-(BP!I9-BP!H9)</f>
        <v>-16877.2783068493</v>
      </c>
      <c r="J9" s="47" t="n">
        <f aca="false">-(BP!J9-BP!I9)</f>
        <v>379.784449955063</v>
      </c>
      <c r="K9" s="47" t="n">
        <f aca="false">-(BP!K9-BP!J9)</f>
        <v>19951.344617255</v>
      </c>
      <c r="L9" s="47" t="n">
        <f aca="false">-(BP!L9-BP!K9)</f>
        <v>7623.15410612135</v>
      </c>
      <c r="M9" s="47" t="n">
        <f aca="false">-(BP!M9-BP!L9)</f>
        <v>-8888.64492585945</v>
      </c>
    </row>
    <row r="10" customFormat="false" ht="15" hidden="false" customHeight="false" outlineLevel="0" collapsed="false">
      <c r="B10" s="4" t="s">
        <v>261</v>
      </c>
      <c r="D10" s="32" t="n">
        <v>-2179</v>
      </c>
      <c r="E10" s="32" t="n">
        <v>-3555</v>
      </c>
      <c r="F10" s="32" t="n">
        <v>-488</v>
      </c>
      <c r="G10" s="32" t="n">
        <v>520</v>
      </c>
      <c r="H10" s="32" t="n">
        <v>-2017</v>
      </c>
      <c r="I10" s="47" t="n">
        <f aca="false">-(BP!I10-BP!H10)</f>
        <v>-2547.83042841644</v>
      </c>
      <c r="J10" s="47" t="n">
        <f aca="false">-(BP!J10-BP!I10)</f>
        <v>-1657.51980864126</v>
      </c>
      <c r="K10" s="47" t="n">
        <f aca="false">-(BP!K10-BP!J10)</f>
        <v>-6704.7922138644</v>
      </c>
      <c r="L10" s="47" t="n">
        <f aca="false">-(BP!L10-BP!K10)</f>
        <v>-2603.68218135344</v>
      </c>
      <c r="M10" s="47" t="n">
        <f aca="false">-(BP!M10-BP!L10)</f>
        <v>2042.77500334661</v>
      </c>
    </row>
    <row r="11" customFormat="false" ht="15" hidden="false" customHeight="false" outlineLevel="0" collapsed="false">
      <c r="B11" s="4" t="s">
        <v>262</v>
      </c>
      <c r="I11" s="47" t="n">
        <f aca="false">-(BP!I11-BP!H11)-(BP!I15-BP!H15)-(BP!I14-BP!H14)</f>
        <v>-0</v>
      </c>
      <c r="J11" s="47" t="n">
        <f aca="false">-(BP!J11-BP!I11)-(BP!J15-BP!I15)-(BP!J14-BP!I14)</f>
        <v>-0</v>
      </c>
      <c r="K11" s="47" t="n">
        <f aca="false">-(BP!K11-BP!J11)-(BP!K15-BP!J15)-(BP!K14-BP!J14)</f>
        <v>-0</v>
      </c>
      <c r="L11" s="47" t="n">
        <f aca="false">-(BP!L11-BP!K11)-(BP!L15-BP!K15)-(BP!L14-BP!K14)</f>
        <v>-0</v>
      </c>
      <c r="M11" s="47" t="n">
        <f aca="false">-(BP!M11-BP!L11)-(BP!M15-BP!L15)-(BP!M14-BP!L14)</f>
        <v>-0</v>
      </c>
    </row>
    <row r="12" customFormat="false" ht="15" hidden="false" customHeight="false" outlineLevel="0" collapsed="false">
      <c r="B12" s="4" t="s">
        <v>263</v>
      </c>
      <c r="D12" s="32" t="n">
        <v>744</v>
      </c>
      <c r="E12" s="32" t="n">
        <v>-1302</v>
      </c>
      <c r="F12" s="32" t="n">
        <v>1915</v>
      </c>
      <c r="G12" s="32" t="n">
        <v>862</v>
      </c>
      <c r="H12" s="32" t="n">
        <v>8707</v>
      </c>
      <c r="I12" s="47" t="n">
        <f aca="false">BP!I18-BP!H18</f>
        <v>5404.40337152878</v>
      </c>
      <c r="J12" s="47" t="n">
        <f aca="false">BP!J18-BP!I18</f>
        <v>461.983810224552</v>
      </c>
      <c r="K12" s="47" t="n">
        <f aca="false">BP!K18-BP!J18</f>
        <v>-7189.24473083123</v>
      </c>
      <c r="L12" s="47" t="n">
        <f aca="false">BP!L18-BP!K18</f>
        <v>-1304.90730392801</v>
      </c>
      <c r="M12" s="47" t="n">
        <f aca="false">BP!M18-BP!L18</f>
        <v>3096.40882722661</v>
      </c>
    </row>
    <row r="13" customFormat="false" ht="15" hidden="false" customHeight="false" outlineLevel="0" collapsed="false">
      <c r="B13" s="4" t="s">
        <v>264</v>
      </c>
      <c r="C13" s="2" t="s">
        <v>199</v>
      </c>
      <c r="D13" s="32" t="n">
        <v>109</v>
      </c>
      <c r="E13" s="32" t="n">
        <v>-798</v>
      </c>
      <c r="F13" s="32" t="n">
        <v>1270</v>
      </c>
      <c r="G13" s="32" t="n">
        <v>56</v>
      </c>
      <c r="H13" s="32" t="n">
        <v>12386</v>
      </c>
      <c r="I13" s="47" t="n">
        <f aca="false">(BP!I20-BP!H20)+(BP!I24-BP!H24)+(BP!I23-BP!H23)</f>
        <v>0</v>
      </c>
      <c r="J13" s="47" t="n">
        <f aca="false">(BP!J20-BP!I20)+(BP!J24-BP!I24)+(BP!J23-BP!I23)</f>
        <v>0</v>
      </c>
      <c r="K13" s="47" t="n">
        <f aca="false">(BP!K20-BP!J20)+(BP!K24-BP!J24)+(BP!K23-BP!J23)</f>
        <v>0</v>
      </c>
      <c r="L13" s="47" t="n">
        <f aca="false">(BP!L20-BP!K20)+(BP!L24-BP!K24)+(BP!L23-BP!K23)</f>
        <v>0</v>
      </c>
      <c r="M13" s="47" t="n">
        <f aca="false">(BP!M20-BP!L20)+(BP!M24-BP!L24)+(BP!M23-BP!L23)</f>
        <v>0</v>
      </c>
    </row>
    <row r="14" customFormat="false" ht="15" hidden="false" customHeight="false" outlineLevel="0" collapsed="false">
      <c r="B14" s="7" t="s">
        <v>265</v>
      </c>
      <c r="D14" s="33" t="n">
        <f aca="false">SUM(D5:D13)</f>
        <v>15181</v>
      </c>
      <c r="E14" s="33" t="n">
        <f aca="false">SUM(E5:E13)</f>
        <v>1559</v>
      </c>
      <c r="F14" s="33" t="n">
        <f aca="false">SUM(F5:F13)</f>
        <v>8507</v>
      </c>
      <c r="G14" s="33" t="n">
        <f aca="false">SUM(G5:G13)</f>
        <v>17525</v>
      </c>
      <c r="H14" s="33" t="n">
        <f aca="false">SUM(H5:H13)</f>
        <v>89675</v>
      </c>
      <c r="I14" s="33" t="n">
        <f aca="false">SUM(I5:I13)</f>
        <v>194703.036594223</v>
      </c>
      <c r="J14" s="33" t="n">
        <f aca="false">SUM(J5:J13)</f>
        <v>231453.272970631</v>
      </c>
      <c r="K14" s="33" t="n">
        <f aca="false">SUM(K5:K13)</f>
        <v>165996.862124626</v>
      </c>
      <c r="L14" s="33" t="n">
        <f aca="false">SUM(L5:L13)</f>
        <v>123479.397853858</v>
      </c>
      <c r="M14" s="33" t="n">
        <f aca="false">SUM(M5:M13)</f>
        <v>150281.496533188</v>
      </c>
    </row>
    <row r="15" customFormat="false" ht="15" hidden="false" customHeight="false" outlineLevel="0" collapsed="false">
      <c r="B15" s="2" t="s">
        <v>266</v>
      </c>
      <c r="D15" s="32" t="n">
        <v>15181</v>
      </c>
      <c r="E15" s="32" t="n">
        <v>1559</v>
      </c>
      <c r="F15" s="32" t="n">
        <v>8507</v>
      </c>
      <c r="G15" s="32" t="n">
        <v>17525</v>
      </c>
      <c r="H15" s="32" t="n">
        <v>89675</v>
      </c>
    </row>
    <row r="17" customFormat="false" ht="15" hidden="false" customHeight="false" outlineLevel="0" collapsed="false">
      <c r="B17" s="4" t="s">
        <v>267</v>
      </c>
      <c r="C17" s="2" t="s">
        <v>268</v>
      </c>
      <c r="D17" s="32" t="n">
        <v>-11980</v>
      </c>
      <c r="E17" s="32" t="n">
        <v>-7010</v>
      </c>
      <c r="F17" s="32" t="n">
        <v>-8120</v>
      </c>
      <c r="G17" s="32" t="n">
        <v>-13800</v>
      </c>
      <c r="H17" s="32" t="n">
        <v>-27370</v>
      </c>
      <c r="I17" s="18" t="n">
        <f aca="false">-Premissas!I71</f>
        <v>-52000</v>
      </c>
      <c r="J17" s="18" t="n">
        <f aca="false">-Premissas!J71</f>
        <v>-58000</v>
      </c>
      <c r="K17" s="18" t="n">
        <f aca="false">-Premissas!K71</f>
        <v>-38000</v>
      </c>
      <c r="L17" s="18" t="n">
        <f aca="false">-Premissas!L71</f>
        <v>-30000</v>
      </c>
      <c r="M17" s="18" t="n">
        <f aca="false">-Premissas!M71</f>
        <v>-36000</v>
      </c>
    </row>
    <row r="18" customFormat="false" ht="15" hidden="false" customHeight="false" outlineLevel="0" collapsed="false">
      <c r="B18" s="4" t="s">
        <v>269</v>
      </c>
      <c r="E18" s="32" t="n">
        <v>868</v>
      </c>
      <c r="F18" s="32" t="n">
        <v>-205</v>
      </c>
      <c r="G18" s="32" t="n">
        <v>-192</v>
      </c>
      <c r="H18" s="32" t="n">
        <v>-32883</v>
      </c>
      <c r="I18" s="47" t="n">
        <f aca="false">0</f>
        <v>0</v>
      </c>
      <c r="J18" s="47" t="n">
        <f aca="false">0</f>
        <v>0</v>
      </c>
      <c r="K18" s="47" t="n">
        <f aca="false">0</f>
        <v>0</v>
      </c>
      <c r="L18" s="47" t="n">
        <f aca="false">0</f>
        <v>0</v>
      </c>
      <c r="M18" s="47" t="n">
        <f aca="false">0</f>
        <v>0</v>
      </c>
    </row>
    <row r="19" customFormat="false" ht="15" hidden="false" customHeight="false" outlineLevel="0" collapsed="false">
      <c r="B19" s="4" t="s">
        <v>270</v>
      </c>
      <c r="D19" s="47" t="n">
        <f aca="false">D21-D17-D18</f>
        <v>395</v>
      </c>
      <c r="E19" s="47" t="n">
        <f aca="false">E21-E17-E18</f>
        <v>-49</v>
      </c>
      <c r="F19" s="47" t="n">
        <f aca="false">F21-F17-F18</f>
        <v>16</v>
      </c>
      <c r="G19" s="47" t="n">
        <f aca="false">G21-G17-G18</f>
        <v>-95</v>
      </c>
      <c r="H19" s="47" t="n">
        <f aca="false">H21-H17-H18</f>
        <v>-1388</v>
      </c>
      <c r="I19" s="47" t="n">
        <f aca="false">0</f>
        <v>0</v>
      </c>
      <c r="J19" s="47" t="n">
        <f aca="false">0</f>
        <v>0</v>
      </c>
      <c r="K19" s="47" t="n">
        <f aca="false">0</f>
        <v>0</v>
      </c>
      <c r="L19" s="47" t="n">
        <f aca="false">0</f>
        <v>0</v>
      </c>
      <c r="M19" s="47" t="n">
        <f aca="false">0</f>
        <v>0</v>
      </c>
    </row>
    <row r="20" customFormat="false" ht="15" hidden="false" customHeight="false" outlineLevel="0" collapsed="false">
      <c r="B20" s="7" t="s">
        <v>271</v>
      </c>
      <c r="D20" s="33" t="n">
        <f aca="false">D17+D18+D19</f>
        <v>-11585</v>
      </c>
      <c r="E20" s="33" t="n">
        <f aca="false">E17+E18+E19</f>
        <v>-6191</v>
      </c>
      <c r="F20" s="33" t="n">
        <f aca="false">F17+F18+F19</f>
        <v>-8309</v>
      </c>
      <c r="G20" s="33" t="n">
        <f aca="false">G17+G18+G19</f>
        <v>-14087</v>
      </c>
      <c r="H20" s="33" t="n">
        <f aca="false">H17+H18+H19</f>
        <v>-61641</v>
      </c>
      <c r="I20" s="33" t="n">
        <f aca="false">I17+I18+I19</f>
        <v>-52000</v>
      </c>
      <c r="J20" s="33" t="n">
        <f aca="false">J17+J18+J19</f>
        <v>-58000</v>
      </c>
      <c r="K20" s="33" t="n">
        <f aca="false">K17+K18+K19</f>
        <v>-38000</v>
      </c>
      <c r="L20" s="33" t="n">
        <f aca="false">L17+L18+L19</f>
        <v>-30000</v>
      </c>
      <c r="M20" s="33" t="n">
        <f aca="false">M17+M18+M19</f>
        <v>-36000</v>
      </c>
    </row>
    <row r="21" customFormat="false" ht="15" hidden="false" customHeight="false" outlineLevel="0" collapsed="false">
      <c r="B21" s="2" t="s">
        <v>272</v>
      </c>
      <c r="D21" s="32" t="n">
        <v>-11585</v>
      </c>
      <c r="E21" s="32" t="n">
        <v>-6191</v>
      </c>
      <c r="F21" s="32" t="n">
        <v>-8309</v>
      </c>
      <c r="G21" s="32" t="n">
        <v>-14087</v>
      </c>
      <c r="H21" s="32" t="n">
        <v>-61641</v>
      </c>
    </row>
    <row r="23" customFormat="false" ht="15" hidden="false" customHeight="false" outlineLevel="0" collapsed="false">
      <c r="B23" s="7" t="s">
        <v>273</v>
      </c>
      <c r="D23" s="33" t="n">
        <f aca="false">D14+D17</f>
        <v>3201</v>
      </c>
      <c r="E23" s="33" t="n">
        <f aca="false">E14+E17</f>
        <v>-5451</v>
      </c>
      <c r="F23" s="33" t="n">
        <f aca="false">F14+F17</f>
        <v>387</v>
      </c>
      <c r="G23" s="33" t="n">
        <f aca="false">G14+G17</f>
        <v>3725</v>
      </c>
      <c r="H23" s="33" t="n">
        <f aca="false">H14+H17</f>
        <v>62305</v>
      </c>
      <c r="I23" s="33" t="n">
        <f aca="false">I14+I17</f>
        <v>142703.036594223</v>
      </c>
      <c r="J23" s="33" t="n">
        <f aca="false">J14+J17</f>
        <v>173453.272970631</v>
      </c>
      <c r="K23" s="33" t="n">
        <f aca="false">K14+K17</f>
        <v>127996.862124626</v>
      </c>
      <c r="L23" s="33" t="n">
        <f aca="false">L14+L17</f>
        <v>93479.3978538585</v>
      </c>
      <c r="M23" s="33" t="n">
        <f aca="false">M14+M17</f>
        <v>114281.496533188</v>
      </c>
    </row>
    <row r="24" customFormat="false" ht="15" hidden="false" customHeight="false" outlineLevel="0" collapsed="false">
      <c r="B24" s="2" t="s">
        <v>274</v>
      </c>
      <c r="D24" s="32" t="n">
        <v>3210</v>
      </c>
      <c r="E24" s="32" t="n">
        <v>-5450</v>
      </c>
      <c r="F24" s="32" t="n">
        <v>386</v>
      </c>
      <c r="G24" s="32" t="n">
        <v>3720</v>
      </c>
      <c r="H24" s="32" t="n">
        <v>62310</v>
      </c>
    </row>
    <row r="25" customFormat="false" ht="15" hidden="false" customHeight="false" outlineLevel="0" collapsed="false">
      <c r="B25" s="2" t="s">
        <v>275</v>
      </c>
      <c r="D25" s="16" t="n">
        <f aca="false">D23/DRE!D5</f>
        <v>0.10407048572729</v>
      </c>
      <c r="E25" s="16" t="n">
        <f aca="false">E23/DRE!E5</f>
        <v>-0.350772200772201</v>
      </c>
      <c r="F25" s="16" t="n">
        <f aca="false">F23/DRE!F5</f>
        <v>0.015411572617578</v>
      </c>
      <c r="G25" s="16" t="n">
        <f aca="false">G23/DRE!G5</f>
        <v>0.0996575525710311</v>
      </c>
      <c r="H25" s="16" t="n">
        <f aca="false">H23/DRE!H5</f>
        <v>0.46779739916509</v>
      </c>
      <c r="I25" s="16" t="n">
        <f aca="false">I23/DRE!I5</f>
        <v>0.523015550230679</v>
      </c>
      <c r="J25" s="16" t="n">
        <f aca="false">J23/DRE!J5</f>
        <v>0.577170826581402</v>
      </c>
      <c r="K25" s="16" t="n">
        <f aca="false">K23/DRE!K5</f>
        <v>0.599755221869589</v>
      </c>
      <c r="L25" s="16" t="n">
        <f aca="false">L23/DRE!L5</f>
        <v>0.560745994895322</v>
      </c>
      <c r="M25" s="16" t="n">
        <f aca="false">M23/DRE!M5</f>
        <v>0.552389022240045</v>
      </c>
    </row>
    <row r="27" customFormat="false" ht="15" hidden="false" customHeight="false" outlineLevel="0" collapsed="false">
      <c r="B27" s="4" t="s">
        <v>276</v>
      </c>
      <c r="D27" s="32" t="n">
        <v>-461</v>
      </c>
      <c r="E27" s="32" t="n">
        <v>-504</v>
      </c>
      <c r="F27" s="32" t="n">
        <v>-513</v>
      </c>
      <c r="G27" s="32" t="n">
        <v>-522</v>
      </c>
      <c r="H27" s="32" t="n">
        <v>-610</v>
      </c>
      <c r="I27" s="18" t="n">
        <f aca="false">-Suporte!I47</f>
        <v>-779.9586</v>
      </c>
      <c r="J27" s="18" t="n">
        <f aca="false">-Suporte!J47</f>
        <v>-914.813786347826</v>
      </c>
      <c r="K27" s="18" t="n">
        <f aca="false">-Suporte!K47</f>
        <v>-945.593813281922</v>
      </c>
      <c r="L27" s="18" t="n">
        <f aca="false">-Suporte!L47</f>
        <v>-878.967961260554</v>
      </c>
      <c r="M27" s="18" t="n">
        <f aca="false">-Suporte!M47</f>
        <v>-802.397616379751</v>
      </c>
    </row>
    <row r="28" customFormat="false" ht="15" hidden="false" customHeight="false" outlineLevel="0" collapsed="false">
      <c r="B28" s="4" t="s">
        <v>277</v>
      </c>
      <c r="D28" s="32" t="n">
        <v>-2432</v>
      </c>
      <c r="E28" s="32" t="n">
        <v>-425</v>
      </c>
      <c r="F28" s="32" t="n">
        <v>-300</v>
      </c>
      <c r="G28" s="32" t="n">
        <v>0</v>
      </c>
      <c r="H28" s="32" t="n">
        <v>-650</v>
      </c>
      <c r="I28" s="18" t="n">
        <f aca="false">-Suporte!I40</f>
        <v>-85000</v>
      </c>
      <c r="J28" s="18" t="n">
        <f aca="false">-Suporte!J40</f>
        <v>-160000</v>
      </c>
      <c r="K28" s="18" t="n">
        <f aca="false">-Suporte!K40</f>
        <v>-120000</v>
      </c>
      <c r="L28" s="18" t="n">
        <f aca="false">-Suporte!L40</f>
        <v>-85000</v>
      </c>
      <c r="M28" s="18" t="n">
        <f aca="false">-Suporte!M40</f>
        <v>-100000</v>
      </c>
    </row>
    <row r="29" customFormat="false" ht="15" hidden="false" customHeight="false" outlineLevel="0" collapsed="false">
      <c r="B29" s="4" t="s">
        <v>278</v>
      </c>
      <c r="D29" s="32" t="n">
        <v>-30</v>
      </c>
      <c r="E29" s="32" t="n">
        <v>5955</v>
      </c>
      <c r="F29" s="32" t="n">
        <v>-898</v>
      </c>
      <c r="G29" s="32" t="n">
        <v>-189</v>
      </c>
      <c r="H29" s="32" t="n">
        <v>-10043</v>
      </c>
      <c r="I29" s="18" t="n">
        <f aca="false">Suporte!I28</f>
        <v>-491</v>
      </c>
      <c r="J29" s="18" t="n">
        <f aca="false">Suporte!J28</f>
        <v>-0</v>
      </c>
      <c r="K29" s="18" t="n">
        <f aca="false">Suporte!K28</f>
        <v>-0</v>
      </c>
      <c r="L29" s="18" t="n">
        <f aca="false">Suporte!L28</f>
        <v>-0</v>
      </c>
      <c r="M29" s="18" t="n">
        <f aca="false">Suporte!M28</f>
        <v>-261</v>
      </c>
    </row>
    <row r="30" customFormat="false" ht="15" hidden="false" customHeight="false" outlineLevel="0" collapsed="false">
      <c r="B30" s="4" t="s">
        <v>279</v>
      </c>
      <c r="D30" s="32" t="n">
        <v>0</v>
      </c>
      <c r="E30" s="32" t="n">
        <v>0</v>
      </c>
      <c r="F30" s="32" t="n">
        <v>0</v>
      </c>
      <c r="G30" s="32" t="n">
        <v>0</v>
      </c>
      <c r="H30" s="32" t="n">
        <v>12747</v>
      </c>
      <c r="I30" s="47" t="n">
        <f aca="false">0</f>
        <v>0</v>
      </c>
      <c r="J30" s="47" t="n">
        <f aca="false">0</f>
        <v>0</v>
      </c>
      <c r="K30" s="47" t="n">
        <f aca="false">0</f>
        <v>0</v>
      </c>
      <c r="L30" s="47" t="n">
        <f aca="false">0</f>
        <v>0</v>
      </c>
      <c r="M30" s="47" t="n">
        <f aca="false">0</f>
        <v>0</v>
      </c>
    </row>
    <row r="31" customFormat="false" ht="15" hidden="false" customHeight="false" outlineLevel="0" collapsed="false">
      <c r="B31" s="4" t="s">
        <v>280</v>
      </c>
      <c r="D31" s="47" t="n">
        <f aca="false">D33-D27-D28-D29-D30</f>
        <v>-57</v>
      </c>
      <c r="E31" s="47" t="n">
        <f aca="false">E33-E27-E28-E29-E30</f>
        <v>-43</v>
      </c>
      <c r="F31" s="47" t="n">
        <f aca="false">F33-F27-F28-F29-F30</f>
        <v>-131</v>
      </c>
      <c r="G31" s="47" t="n">
        <f aca="false">G33-G27-G28-G29-G30</f>
        <v>-139</v>
      </c>
      <c r="H31" s="47" t="n">
        <f aca="false">H33-H27-H28-H29-H30</f>
        <v>-814</v>
      </c>
      <c r="I31" s="47" t="n">
        <f aca="false">0</f>
        <v>0</v>
      </c>
      <c r="J31" s="47" t="n">
        <f aca="false">0</f>
        <v>0</v>
      </c>
      <c r="K31" s="47" t="n">
        <f aca="false">0</f>
        <v>0</v>
      </c>
      <c r="L31" s="47" t="n">
        <f aca="false">0</f>
        <v>0</v>
      </c>
      <c r="M31" s="47" t="n">
        <f aca="false">0</f>
        <v>0</v>
      </c>
    </row>
    <row r="32" customFormat="false" ht="15" hidden="false" customHeight="false" outlineLevel="0" collapsed="false">
      <c r="B32" s="7" t="s">
        <v>281</v>
      </c>
      <c r="D32" s="33" t="n">
        <f aca="false">D23+D27+D28+D29+D30+D31</f>
        <v>221</v>
      </c>
      <c r="E32" s="33" t="n">
        <f aca="false">E23+E27+E28+E29+E30+E31</f>
        <v>-468</v>
      </c>
      <c r="F32" s="33" t="n">
        <f aca="false">F23+F27+F28+F29+F30+F31</f>
        <v>-1455</v>
      </c>
      <c r="G32" s="33" t="n">
        <f aca="false">G23+G27+G28+G29+G30+G31</f>
        <v>2875</v>
      </c>
      <c r="H32" s="33" t="n">
        <f aca="false">H23+H27+H28+H29+H30+H31</f>
        <v>62935</v>
      </c>
      <c r="I32" s="33" t="n">
        <f aca="false">I23+I27+I28+I29+I30+I31</f>
        <v>56432.077994223</v>
      </c>
      <c r="J32" s="33" t="n">
        <f aca="false">J23+J27+J28+J29+J30+J31</f>
        <v>12538.459184283</v>
      </c>
      <c r="K32" s="33" t="n">
        <f aca="false">K23+K27+K28+K29+K30+K31</f>
        <v>7051.26831134419</v>
      </c>
      <c r="L32" s="33" t="n">
        <f aca="false">L23+L27+L28+L29+L30+L31</f>
        <v>7600.42989259791</v>
      </c>
      <c r="M32" s="33" t="n">
        <f aca="false">M23+M27+M28+M29+M30+M31</f>
        <v>13218.0989168083</v>
      </c>
    </row>
    <row r="33" customFormat="false" ht="15" hidden="false" customHeight="false" outlineLevel="0" collapsed="false">
      <c r="B33" s="2" t="s">
        <v>282</v>
      </c>
      <c r="D33" s="32" t="n">
        <v>-2980</v>
      </c>
      <c r="E33" s="32" t="n">
        <v>4983</v>
      </c>
      <c r="F33" s="32" t="n">
        <v>-1842</v>
      </c>
      <c r="G33" s="32" t="n">
        <v>-850</v>
      </c>
      <c r="H33" s="32" t="n">
        <v>630</v>
      </c>
    </row>
    <row r="34" customFormat="false" ht="15" hidden="false" customHeight="false" outlineLevel="0" collapsed="false">
      <c r="B34" s="4" t="s">
        <v>283</v>
      </c>
      <c r="D34" s="32" t="n">
        <v>-106</v>
      </c>
      <c r="E34" s="32" t="n">
        <v>-34</v>
      </c>
      <c r="F34" s="32" t="n">
        <v>40</v>
      </c>
      <c r="G34" s="32" t="n">
        <v>6</v>
      </c>
      <c r="H34" s="32" t="n">
        <v>81</v>
      </c>
      <c r="I34" s="47" t="n">
        <f aca="false">0</f>
        <v>0</v>
      </c>
      <c r="J34" s="47" t="n">
        <f aca="false">0</f>
        <v>0</v>
      </c>
      <c r="K34" s="47" t="n">
        <f aca="false">0</f>
        <v>0</v>
      </c>
      <c r="L34" s="47" t="n">
        <f aca="false">0</f>
        <v>0</v>
      </c>
      <c r="M34" s="47" t="n">
        <f aca="false">0</f>
        <v>0</v>
      </c>
    </row>
    <row r="35" customFormat="false" ht="15" hidden="false" customHeight="false" outlineLevel="0" collapsed="false">
      <c r="B35" s="7" t="s">
        <v>284</v>
      </c>
      <c r="D35" s="33" t="n">
        <f aca="false">D14+D20+D27+D28+D29+D30+D31+D34</f>
        <v>510</v>
      </c>
      <c r="E35" s="33" t="n">
        <f aca="false">E14+E20+E27+E28+E29+E30+E31+E34</f>
        <v>317</v>
      </c>
      <c r="F35" s="33" t="n">
        <f aca="false">F14+F20+F27+F28+F29+F30+F31+F34</f>
        <v>-1604</v>
      </c>
      <c r="G35" s="33" t="n">
        <f aca="false">G14+G20+G27+G28+G29+G30+G31+G34</f>
        <v>2594</v>
      </c>
      <c r="H35" s="33" t="n">
        <f aca="false">H14+H20+H27+H28+H29+H30+H31+H34</f>
        <v>28745</v>
      </c>
      <c r="I35" s="33" t="n">
        <f aca="false">I14+I20+I27+I28+I29+I30+I31+I34</f>
        <v>56432.077994223</v>
      </c>
      <c r="J35" s="33" t="n">
        <f aca="false">J14+J20+J27+J28+J29+J30+J31+J34</f>
        <v>12538.459184283</v>
      </c>
      <c r="K35" s="33" t="n">
        <f aca="false">K14+K20+K27+K28+K29+K30+K31+K34</f>
        <v>7051.26831134419</v>
      </c>
      <c r="L35" s="33" t="n">
        <f aca="false">L14+L20+L27+L28+L29+L30+L31+L34</f>
        <v>7600.42989259791</v>
      </c>
      <c r="M35" s="33" t="n">
        <f aca="false">M14+M20+M27+M28+M29+M30+M31+M34</f>
        <v>13218.0989168083</v>
      </c>
    </row>
    <row r="36" customFormat="false" ht="15" hidden="false" customHeight="false" outlineLevel="0" collapsed="false">
      <c r="B36" s="2" t="s">
        <v>285</v>
      </c>
      <c r="C36" s="2" t="s">
        <v>286</v>
      </c>
      <c r="D36" s="32" t="n">
        <v>510</v>
      </c>
      <c r="E36" s="32" t="n">
        <v>317</v>
      </c>
      <c r="F36" s="32" t="n">
        <v>-1604</v>
      </c>
      <c r="G36" s="32" t="n">
        <v>2594</v>
      </c>
      <c r="H36" s="32" t="n">
        <v>28745</v>
      </c>
    </row>
    <row r="37" customFormat="false" ht="15" hidden="false" customHeight="false" outlineLevel="0" collapsed="false">
      <c r="B37" s="4" t="s">
        <v>287</v>
      </c>
      <c r="E37" s="18" t="n">
        <f aca="false">BP!D5</f>
        <v>10978</v>
      </c>
      <c r="F37" s="18" t="n">
        <f aca="false">BP!E5</f>
        <v>10438</v>
      </c>
      <c r="G37" s="18" t="n">
        <f aca="false">BP!F5</f>
        <v>9152</v>
      </c>
      <c r="H37" s="18" t="n">
        <f aca="false">BP!G5</f>
        <v>11936</v>
      </c>
      <c r="I37" s="18" t="n">
        <f aca="false">BP!H5</f>
        <v>73453</v>
      </c>
      <c r="J37" s="18" t="n">
        <f aca="false">BP!I5</f>
        <v>129885.077994223</v>
      </c>
      <c r="K37" s="18" t="n">
        <f aca="false">BP!J5</f>
        <v>142423.537178506</v>
      </c>
      <c r="L37" s="18" t="n">
        <f aca="false">BP!K5</f>
        <v>149474.80548985</v>
      </c>
      <c r="M37" s="18" t="n">
        <f aca="false">BP!L5</f>
        <v>157075.235382448</v>
      </c>
    </row>
    <row r="38" customFormat="false" ht="15" hidden="false" customHeight="false" outlineLevel="0" collapsed="false">
      <c r="B38" s="7" t="s">
        <v>288</v>
      </c>
      <c r="E38" s="33" t="n">
        <f aca="false">E37+E35</f>
        <v>11295</v>
      </c>
      <c r="F38" s="33" t="n">
        <f aca="false">F37+F35</f>
        <v>8834</v>
      </c>
      <c r="G38" s="33" t="n">
        <f aca="false">G37+G35</f>
        <v>11746</v>
      </c>
      <c r="H38" s="33" t="n">
        <f aca="false">H37+H35</f>
        <v>40681</v>
      </c>
      <c r="I38" s="33" t="n">
        <f aca="false">I37+I35</f>
        <v>129885.077994223</v>
      </c>
      <c r="J38" s="33" t="n">
        <f aca="false">J37+J35</f>
        <v>142423.537178506</v>
      </c>
      <c r="K38" s="33" t="n">
        <f aca="false">K37+K35</f>
        <v>149474.80548985</v>
      </c>
      <c r="L38" s="33" t="n">
        <f aca="false">L37+L35</f>
        <v>157075.235382448</v>
      </c>
      <c r="M38" s="33" t="n">
        <f aca="false">M37+M35</f>
        <v>170293.334299256</v>
      </c>
    </row>
    <row r="39" customFormat="false" ht="15" hidden="false" customHeight="false" outlineLevel="0" collapsed="false">
      <c r="B39" s="2" t="s">
        <v>289</v>
      </c>
      <c r="D39" s="48" t="n">
        <f aca="false">D35-D36</f>
        <v>0</v>
      </c>
      <c r="E39" s="48" t="n">
        <f aca="false">E35-E36</f>
        <v>0</v>
      </c>
      <c r="F39" s="48" t="n">
        <f aca="false">F35-F36</f>
        <v>0</v>
      </c>
      <c r="G39" s="48" t="n">
        <f aca="false">G35-G36</f>
        <v>0</v>
      </c>
      <c r="H39" s="48" t="n">
        <f aca="false">H35-H36</f>
        <v>0</v>
      </c>
      <c r="I39" s="48" t="n">
        <f aca="false">BP!I5-I38</f>
        <v>0</v>
      </c>
      <c r="J39" s="48" t="n">
        <f aca="false">BP!J5-J38</f>
        <v>0</v>
      </c>
      <c r="K39" s="48" t="n">
        <f aca="false">BP!K5-K38</f>
        <v>0</v>
      </c>
      <c r="L39" s="48" t="n">
        <f aca="false">BP!L5-L38</f>
        <v>0</v>
      </c>
      <c r="M39" s="48" t="n">
        <f aca="false">BP!M5-M38</f>
        <v>0</v>
      </c>
    </row>
    <row r="40" customFormat="false" ht="15" hidden="false" customHeight="false" outlineLevel="0" collapsed="false">
      <c r="B40" s="7" t="s">
        <v>290</v>
      </c>
      <c r="D40" s="33" t="str">
        <f aca="false">IF(ABS(D39)&lt;0.5,"ok","ERRO")</f>
        <v>ok</v>
      </c>
      <c r="E40" s="33" t="str">
        <f aca="false">IF(ABS(E39)&lt;0.5,"ok","ERRO")</f>
        <v>ok</v>
      </c>
      <c r="F40" s="33" t="str">
        <f aca="false">IF(ABS(F39)&lt;0.5,"ok","ERRO")</f>
        <v>ok</v>
      </c>
      <c r="G40" s="33" t="str">
        <f aca="false">IF(ABS(G39)&lt;0.5,"ok","ERRO")</f>
        <v>ok</v>
      </c>
      <c r="H40" s="33" t="str">
        <f aca="false">IF(ABS(H39)&lt;0.5,"ok","ERRO")</f>
        <v>ok</v>
      </c>
      <c r="I40" s="33" t="str">
        <f aca="false">IF(ABS(I39)&lt;0.5,"ok","ERRO")</f>
        <v>ok</v>
      </c>
      <c r="J40" s="33" t="str">
        <f aca="false">IF(ABS(J39)&lt;0.5,"ok","ERRO")</f>
        <v>ok</v>
      </c>
      <c r="K40" s="33" t="str">
        <f aca="false">IF(ABS(K39)&lt;0.5,"ok","ERRO")</f>
        <v>ok</v>
      </c>
      <c r="L40" s="33" t="str">
        <f aca="false">IF(ABS(L39)&lt;0.5,"ok","ERRO")</f>
        <v>ok</v>
      </c>
      <c r="M40" s="33" t="str">
        <f aca="false">IF(ABS(M39)&lt;0.5,"ok","ERRO")</f>
        <v>ok</v>
      </c>
    </row>
    <row r="41" customFormat="false" ht="15" hidden="false" customHeight="false" outlineLevel="0" collapsed="false">
      <c r="B41" s="7" t="s">
        <v>291</v>
      </c>
      <c r="D41" s="7" t="str">
        <f aca="false">IF(COUNTIF(D40:M40,"ok")=10,"ok","ERRO")</f>
        <v>ok</v>
      </c>
    </row>
    <row r="43" customFormat="false" ht="15" hidden="false" customHeight="false" outlineLevel="0" collapsed="false">
      <c r="B43" s="4" t="s">
        <v>292</v>
      </c>
      <c r="D43" s="42" t="n">
        <f aca="false">D23/Multiplos!$D$7</f>
        <v>0.0027107706576473</v>
      </c>
      <c r="E43" s="42" t="n">
        <f aca="false">E23/Multiplos!$D$7</f>
        <v>-0.00461618583406293</v>
      </c>
      <c r="F43" s="42" t="n">
        <f aca="false">F23/Multiplos!$D$7</f>
        <v>0.000327731410343488</v>
      </c>
      <c r="G43" s="42" t="n">
        <f aca="false">G23/Multiplos!$D$7</f>
        <v>0.00315452068095476</v>
      </c>
      <c r="H43" s="42" t="n">
        <f aca="false">H23/Multiplos!$D$7</f>
        <v>0.0527630633629225</v>
      </c>
      <c r="I43" s="42" t="n">
        <f aca="false">I23/Multiplos!$D$7</f>
        <v>0.120848236287657</v>
      </c>
      <c r="J43" s="42" t="n">
        <f aca="false">J23/Multiplos!$D$7</f>
        <v>0.146889110540979</v>
      </c>
      <c r="K43" s="42" t="n">
        <f aca="false">K23/Multiplos!$D$7</f>
        <v>0.108394294944818</v>
      </c>
      <c r="L43" s="42" t="n">
        <f aca="false">L23/Multiplos!$D$7</f>
        <v>0.0791631392679718</v>
      </c>
      <c r="M43" s="42" t="n">
        <f aca="false">M23/Multiplos!$D$7</f>
        <v>0.0967794212790341</v>
      </c>
    </row>
    <row r="44" customFormat="false" ht="15" hidden="false" customHeight="false" outlineLevel="0" collapsed="false">
      <c r="B44" s="2" t="s">
        <v>293</v>
      </c>
      <c r="D44" s="54" t="n">
        <f aca="false">D23/DRE!D30</f>
        <v>2.85294117647059</v>
      </c>
      <c r="E44" s="54" t="n">
        <f aca="false">E23/DRE!E30</f>
        <v>-4.9871912168344</v>
      </c>
      <c r="F44" s="54" t="n">
        <f aca="false">F23/DRE!F30</f>
        <v>0.346153846153846</v>
      </c>
      <c r="G44" s="54" t="n">
        <f aca="false">G23/DRE!G30</f>
        <v>3.31111111111111</v>
      </c>
      <c r="H44" s="54" t="n">
        <f aca="false">H23/DRE!H30</f>
        <v>54.5100612423447</v>
      </c>
      <c r="I44" s="54" t="n">
        <f aca="false">I23/DRE!I30</f>
        <v>128.000440537893</v>
      </c>
      <c r="J44" s="54" t="n">
        <f aca="false">J23/DRE!J30</f>
        <v>171.115483762625</v>
      </c>
      <c r="K44" s="54" t="n">
        <f aca="false">K23/DRE!K30</f>
        <v>144.150521951675</v>
      </c>
      <c r="L44" s="54" t="n">
        <f aca="false">L23/DRE!L30</f>
        <v>120.052233636945</v>
      </c>
      <c r="M44" s="54" t="n">
        <f aca="false">M23/DRE!M30</f>
        <v>168.811866499081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6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13" min="4" style="0" width="10"/>
  </cols>
  <sheetData>
    <row r="1" customFormat="false" ht="15" hidden="false" customHeight="false" outlineLevel="0" collapsed="false">
      <c r="B1" s="1" t="s">
        <v>294</v>
      </c>
    </row>
    <row r="2" customFormat="false" ht="15" hidden="false" customHeight="false" outlineLevel="0" collapsed="false">
      <c r="B2" s="2" t="s">
        <v>295</v>
      </c>
    </row>
    <row r="4" customFormat="false" ht="15" hidden="false" customHeight="false" outlineLevel="0" collapsed="false">
      <c r="B4" s="12" t="s">
        <v>16</v>
      </c>
      <c r="C4" s="13"/>
      <c r="D4" s="14" t="s">
        <v>65</v>
      </c>
      <c r="E4" s="14" t="s">
        <v>66</v>
      </c>
      <c r="F4" s="14" t="s">
        <v>17</v>
      </c>
      <c r="G4" s="14" t="s">
        <v>18</v>
      </c>
      <c r="H4" s="14" t="s">
        <v>19</v>
      </c>
      <c r="I4" s="14" t="s">
        <v>20</v>
      </c>
      <c r="J4" s="14" t="s">
        <v>21</v>
      </c>
      <c r="K4" s="14" t="s">
        <v>22</v>
      </c>
      <c r="L4" s="14" t="s">
        <v>67</v>
      </c>
      <c r="M4" s="14" t="s">
        <v>68</v>
      </c>
    </row>
    <row r="5" customFormat="false" ht="15" hidden="false" customHeight="false" outlineLevel="0" collapsed="false">
      <c r="B5" s="2" t="s">
        <v>296</v>
      </c>
      <c r="D5" s="55" t="n">
        <v>2022</v>
      </c>
      <c r="E5" s="55" t="n">
        <v>2023</v>
      </c>
      <c r="F5" s="55" t="n">
        <v>2024</v>
      </c>
      <c r="G5" s="55" t="n">
        <v>2025</v>
      </c>
      <c r="H5" s="55" t="n">
        <v>2026</v>
      </c>
      <c r="I5" s="55" t="n">
        <v>2027</v>
      </c>
      <c r="J5" s="55" t="n">
        <v>2028</v>
      </c>
      <c r="K5" s="55" t="n">
        <v>2029</v>
      </c>
      <c r="L5" s="55" t="n">
        <v>2030</v>
      </c>
      <c r="M5" s="55" t="n">
        <v>2031</v>
      </c>
    </row>
    <row r="7" customFormat="false" ht="15" hidden="false" customHeight="false" outlineLevel="0" collapsed="false">
      <c r="B7" s="3" t="s">
        <v>297</v>
      </c>
    </row>
    <row r="8" customFormat="false" ht="15" hidden="false" customHeight="false" outlineLevel="0" collapsed="false">
      <c r="B8" s="4" t="s">
        <v>298</v>
      </c>
      <c r="C8" s="2" t="s">
        <v>299</v>
      </c>
      <c r="E8" s="47" t="n">
        <f aca="false">D11</f>
        <v>38549</v>
      </c>
      <c r="F8" s="47" t="n">
        <f aca="false">E11</f>
        <v>37928</v>
      </c>
      <c r="G8" s="47" t="n">
        <f aca="false">F11</f>
        <v>39749</v>
      </c>
      <c r="H8" s="47" t="n">
        <f aca="false">G11</f>
        <v>46590</v>
      </c>
      <c r="I8" s="47" t="n">
        <f aca="false">H11</f>
        <v>63310</v>
      </c>
      <c r="J8" s="47" t="n">
        <f aca="false">I11</f>
        <v>102837.93</v>
      </c>
      <c r="K8" s="47" t="n">
        <f aca="false">J11</f>
        <v>143869.67155</v>
      </c>
      <c r="L8" s="47" t="n">
        <f aca="false">K11</f>
        <v>158850.524102</v>
      </c>
      <c r="M8" s="47" t="n">
        <f aca="false">L11</f>
        <v>161845.93500466</v>
      </c>
    </row>
    <row r="9" customFormat="false" ht="15" hidden="false" customHeight="false" outlineLevel="0" collapsed="false">
      <c r="B9" s="4" t="s">
        <v>300</v>
      </c>
      <c r="D9" s="18" t="n">
        <f aca="false">-FC!D17</f>
        <v>11980</v>
      </c>
      <c r="E9" s="18" t="n">
        <f aca="false">-FC!E17</f>
        <v>7010</v>
      </c>
      <c r="F9" s="18" t="n">
        <f aca="false">-FC!F17</f>
        <v>8120</v>
      </c>
      <c r="G9" s="18" t="n">
        <f aca="false">-FC!G17</f>
        <v>13800</v>
      </c>
      <c r="H9" s="18" t="n">
        <f aca="false">-FC!H17</f>
        <v>27370</v>
      </c>
      <c r="I9" s="18" t="n">
        <f aca="false">Premissas!I71</f>
        <v>52000</v>
      </c>
      <c r="J9" s="18" t="n">
        <f aca="false">Premissas!J71</f>
        <v>58000</v>
      </c>
      <c r="K9" s="18" t="n">
        <f aca="false">Premissas!K71</f>
        <v>38000</v>
      </c>
      <c r="L9" s="18" t="n">
        <f aca="false">Premissas!L71</f>
        <v>30000</v>
      </c>
      <c r="M9" s="18" t="n">
        <f aca="false">Premissas!M71</f>
        <v>36000</v>
      </c>
    </row>
    <row r="10" customFormat="false" ht="15" hidden="false" customHeight="false" outlineLevel="0" collapsed="false">
      <c r="B10" s="4" t="s">
        <v>301</v>
      </c>
      <c r="D10" s="18" t="n">
        <f aca="false">-DRE!D15</f>
        <v>-7116</v>
      </c>
      <c r="E10" s="18" t="n">
        <f aca="false">-DRE!E15</f>
        <v>-7756</v>
      </c>
      <c r="F10" s="18" t="n">
        <f aca="false">-DRE!F15</f>
        <v>-7780</v>
      </c>
      <c r="G10" s="18" t="n">
        <f aca="false">-DRE!G15</f>
        <v>-8352</v>
      </c>
      <c r="H10" s="18" t="n">
        <f aca="false">-DRE!H15</f>
        <v>-9503</v>
      </c>
      <c r="I10" s="47" t="n">
        <f aca="false">-I8*Premissas!I77</f>
        <v>-12472.07</v>
      </c>
      <c r="J10" s="47" t="n">
        <f aca="false">-J8*Premissas!J77</f>
        <v>-16968.25845</v>
      </c>
      <c r="K10" s="47" t="n">
        <f aca="false">-K8*Premissas!K77</f>
        <v>-23019.147448</v>
      </c>
      <c r="L10" s="47" t="n">
        <f aca="false">-L8*Premissas!L77</f>
        <v>-27004.58909734</v>
      </c>
      <c r="M10" s="47" t="n">
        <f aca="false">-M8*Premissas!M77</f>
        <v>-29132.2683008388</v>
      </c>
    </row>
    <row r="11" customFormat="false" ht="15" hidden="false" customHeight="false" outlineLevel="0" collapsed="false">
      <c r="B11" s="7" t="s">
        <v>302</v>
      </c>
      <c r="C11" s="2"/>
      <c r="D11" s="15" t="n">
        <f aca="false">BP!D13</f>
        <v>38549</v>
      </c>
      <c r="E11" s="15" t="n">
        <f aca="false">BP!E13</f>
        <v>37928</v>
      </c>
      <c r="F11" s="15" t="n">
        <f aca="false">BP!F13</f>
        <v>39749</v>
      </c>
      <c r="G11" s="15" t="n">
        <f aca="false">BP!G13</f>
        <v>46590</v>
      </c>
      <c r="H11" s="15" t="n">
        <f aca="false">BP!H13</f>
        <v>63310</v>
      </c>
      <c r="I11" s="33" t="n">
        <f aca="false">I8+I9+I10</f>
        <v>102837.93</v>
      </c>
      <c r="J11" s="33" t="n">
        <f aca="false">J8+J9+J10</f>
        <v>143869.67155</v>
      </c>
      <c r="K11" s="33" t="n">
        <f aca="false">K8+K9+K10</f>
        <v>158850.524102</v>
      </c>
      <c r="L11" s="33" t="n">
        <f aca="false">L8+L9+L10</f>
        <v>161845.93500466</v>
      </c>
      <c r="M11" s="33" t="n">
        <f aca="false">M8+M9+M10</f>
        <v>168713.666703821</v>
      </c>
    </row>
    <row r="12" customFormat="false" ht="15" hidden="false" customHeight="false" outlineLevel="0" collapsed="false">
      <c r="B12" s="2" t="s">
        <v>303</v>
      </c>
      <c r="E12" s="16" t="n">
        <f aca="false">-E10/E8</f>
        <v>0.201198474668604</v>
      </c>
      <c r="F12" s="16" t="n">
        <f aca="false">-F10/F8</f>
        <v>0.205125500949167</v>
      </c>
      <c r="G12" s="16" t="n">
        <f aca="false">-G10/G8</f>
        <v>0.210118493547007</v>
      </c>
      <c r="H12" s="16" t="n">
        <f aca="false">-H10/H8</f>
        <v>0.203970809186521</v>
      </c>
      <c r="I12" s="16" t="n">
        <f aca="false">-I10/I8</f>
        <v>0.197</v>
      </c>
      <c r="J12" s="16" t="n">
        <f aca="false">-J10/J8</f>
        <v>0.165</v>
      </c>
      <c r="K12" s="16" t="n">
        <f aca="false">-K10/K8</f>
        <v>0.16</v>
      </c>
      <c r="L12" s="16" t="n">
        <f aca="false">-L10/L8</f>
        <v>0.17</v>
      </c>
      <c r="M12" s="16" t="n">
        <f aca="false">-M10/M8</f>
        <v>0.18</v>
      </c>
    </row>
    <row r="13" customFormat="false" ht="15" hidden="false" customHeight="false" outlineLevel="0" collapsed="false">
      <c r="B13" s="2" t="s">
        <v>304</v>
      </c>
      <c r="D13" s="16" t="n">
        <f aca="false">D9/DRE!D5</f>
        <v>0.389492164640094</v>
      </c>
      <c r="E13" s="16" t="n">
        <f aca="false">E9/DRE!E5</f>
        <v>0.451093951093951</v>
      </c>
      <c r="F13" s="16" t="n">
        <f aca="false">F9/DRE!F5</f>
        <v>0.323364262673729</v>
      </c>
      <c r="G13" s="16" t="n">
        <f aca="false">G9/DRE!G5</f>
        <v>0.369201134357108</v>
      </c>
      <c r="H13" s="16" t="n">
        <f aca="false">H9/DRE!H5</f>
        <v>0.205498993903355</v>
      </c>
      <c r="I13" s="16" t="n">
        <f aca="false">I9/DRE!I5</f>
        <v>0.19058325079185</v>
      </c>
      <c r="J13" s="16" t="n">
        <f aca="false">J9/DRE!J5</f>
        <v>0.192996692241082</v>
      </c>
      <c r="K13" s="16" t="n">
        <f aca="false">K9/DRE!K5</f>
        <v>0.178056696490371</v>
      </c>
      <c r="L13" s="16" t="n">
        <f aca="false">L9/DRE!L5</f>
        <v>0.179958153700979</v>
      </c>
      <c r="M13" s="16" t="n">
        <f aca="false">M9/DRE!M5</f>
        <v>0.17400896386465</v>
      </c>
    </row>
    <row r="14" customFormat="false" ht="15" hidden="false" customHeight="false" outlineLevel="0" collapsed="false">
      <c r="B14" s="2" t="s">
        <v>305</v>
      </c>
      <c r="D14" s="56" t="n">
        <f aca="false">-D9/D10</f>
        <v>1.68353007307476</v>
      </c>
      <c r="E14" s="56" t="n">
        <f aca="false">-E9/E10</f>
        <v>0.903816400206292</v>
      </c>
      <c r="F14" s="56" t="n">
        <f aca="false">-F9/F10</f>
        <v>1.04370179948586</v>
      </c>
      <c r="G14" s="56" t="n">
        <f aca="false">-G9/G10</f>
        <v>1.65229885057471</v>
      </c>
      <c r="H14" s="56" t="n">
        <f aca="false">-H9/H10</f>
        <v>2.88014311270125</v>
      </c>
      <c r="I14" s="56" t="n">
        <f aca="false">-I9/I10</f>
        <v>4.16931591949051</v>
      </c>
      <c r="J14" s="56" t="n">
        <f aca="false">-J9/J10</f>
        <v>3.41814689886457</v>
      </c>
      <c r="K14" s="56" t="n">
        <f aca="false">-K9/K10</f>
        <v>1.650799626087</v>
      </c>
      <c r="L14" s="56" t="n">
        <f aca="false">-L9/L10</f>
        <v>1.11092229146175</v>
      </c>
      <c r="M14" s="56" t="n">
        <f aca="false">-M9/M10</f>
        <v>1.23574311578627</v>
      </c>
    </row>
    <row r="16" customFormat="false" ht="15" hidden="false" customHeight="false" outlineLevel="0" collapsed="false">
      <c r="B16" s="3" t="s">
        <v>306</v>
      </c>
    </row>
    <row r="17" customFormat="false" ht="15" hidden="false" customHeight="false" outlineLevel="0" collapsed="false">
      <c r="B17" s="4" t="s">
        <v>307</v>
      </c>
      <c r="C17" s="2" t="s">
        <v>308</v>
      </c>
      <c r="D17" s="57" t="n">
        <f aca="false">D20/DRE!D5*365</f>
        <v>60.8768450484427</v>
      </c>
      <c r="E17" s="57" t="n">
        <f aca="false">E20/DRE!E5*365</f>
        <v>57.3806306306306</v>
      </c>
      <c r="F17" s="57" t="n">
        <f aca="false">F20/DRE!F5*365</f>
        <v>96.1520847437378</v>
      </c>
      <c r="G17" s="57" t="n">
        <f aca="false">G20/DRE!G5*365</f>
        <v>90.473674353898</v>
      </c>
      <c r="H17" s="57" t="n">
        <f aca="false">H20/DRE!H5*365</f>
        <v>99.197412679821</v>
      </c>
      <c r="I17" s="58" t="n">
        <f aca="false">Premissas!I89</f>
        <v>71</v>
      </c>
      <c r="J17" s="58" t="n">
        <f aca="false">Premissas!J89</f>
        <v>64</v>
      </c>
      <c r="K17" s="58" t="n">
        <f aca="false">Premissas!K89</f>
        <v>56</v>
      </c>
      <c r="L17" s="58" t="n">
        <f aca="false">Premissas!L89</f>
        <v>55</v>
      </c>
      <c r="M17" s="58" t="n">
        <f aca="false">Premissas!M89</f>
        <v>60</v>
      </c>
    </row>
    <row r="18" customFormat="false" ht="15" hidden="false" customHeight="false" outlineLevel="0" collapsed="false">
      <c r="B18" s="4" t="s">
        <v>309</v>
      </c>
      <c r="D18" s="57" t="n">
        <f aca="false">D21/(-DRE!D7)*365</f>
        <v>144.246441281139</v>
      </c>
      <c r="E18" s="57" t="n">
        <f aca="false">E21/(-DRE!E7)*365</f>
        <v>180.541106393017</v>
      </c>
      <c r="F18" s="57" t="n">
        <f aca="false">F21/(-DRE!F7)*365</f>
        <v>166.138834752282</v>
      </c>
      <c r="G18" s="57" t="n">
        <f aca="false">G21/(-DRE!G7)*365</f>
        <v>135.506554099089</v>
      </c>
      <c r="H18" s="57" t="n">
        <f aca="false">H21/(-DRE!H7)*365</f>
        <v>147.398380314593</v>
      </c>
      <c r="I18" s="58" t="n">
        <f aca="false">Premissas!I95</f>
        <v>131</v>
      </c>
      <c r="J18" s="58" t="n">
        <f aca="false">Premissas!J95</f>
        <v>128</v>
      </c>
      <c r="K18" s="58" t="n">
        <f aca="false">Premissas!K95</f>
        <v>158</v>
      </c>
      <c r="L18" s="58" t="n">
        <f aca="false">Premissas!L95</f>
        <v>165</v>
      </c>
      <c r="M18" s="58" t="n">
        <f aca="false">Premissas!M95</f>
        <v>142</v>
      </c>
    </row>
    <row r="19" customFormat="false" ht="15" hidden="false" customHeight="false" outlineLevel="0" collapsed="false">
      <c r="B19" s="4" t="s">
        <v>310</v>
      </c>
      <c r="D19" s="57" t="n">
        <f aca="false">D22/(-DRE!D7)*365</f>
        <v>131.841637010676</v>
      </c>
      <c r="E19" s="57" t="n">
        <f aca="false">E22/(-DRE!E7)*365</f>
        <v>85.2011087520642</v>
      </c>
      <c r="F19" s="57" t="n">
        <f aca="false">F22/(-DRE!F7)*365</f>
        <v>136.636321674018</v>
      </c>
      <c r="G19" s="57" t="n">
        <f aca="false">G22/(-DRE!G7)*365</f>
        <v>156.493445900911</v>
      </c>
      <c r="H19" s="57" t="n">
        <f aca="false">H22/(-DRE!H7)*365</f>
        <v>321.243770440741</v>
      </c>
      <c r="I19" s="58" t="n">
        <f aca="false">Premissas!I101</f>
        <v>284</v>
      </c>
      <c r="J19" s="58" t="n">
        <f aca="false">Premissas!J101</f>
        <v>250</v>
      </c>
      <c r="K19" s="58" t="n">
        <f aca="false">Premissas!K101</f>
        <v>158</v>
      </c>
      <c r="L19" s="58" t="n">
        <f aca="false">Premissas!L101</f>
        <v>138</v>
      </c>
      <c r="M19" s="58" t="n">
        <f aca="false">Premissas!M101</f>
        <v>150</v>
      </c>
    </row>
    <row r="20" customFormat="false" ht="15" hidden="false" customHeight="false" outlineLevel="0" collapsed="false">
      <c r="B20" s="4" t="s">
        <v>231</v>
      </c>
      <c r="D20" s="18" t="n">
        <f aca="false">BP!D9</f>
        <v>5130</v>
      </c>
      <c r="E20" s="18" t="n">
        <f aca="false">BP!E9</f>
        <v>2443</v>
      </c>
      <c r="F20" s="18" t="n">
        <f aca="false">BP!F9</f>
        <v>6615</v>
      </c>
      <c r="G20" s="18" t="n">
        <f aca="false">BP!G9</f>
        <v>9265</v>
      </c>
      <c r="H20" s="18" t="n">
        <f aca="false">BP!H9</f>
        <v>36197</v>
      </c>
      <c r="I20" s="47" t="n">
        <f aca="false">DRE!I5*I17/365</f>
        <v>53074.2783068493</v>
      </c>
      <c r="J20" s="47" t="n">
        <f aca="false">DRE!J5*J17/365</f>
        <v>52694.4938568942</v>
      </c>
      <c r="K20" s="47" t="n">
        <f aca="false">DRE!K5*K17/365</f>
        <v>32743.1492396393</v>
      </c>
      <c r="L20" s="47" t="n">
        <f aca="false">DRE!L5*L17/365</f>
        <v>25119.9951335179</v>
      </c>
      <c r="M20" s="47" t="n">
        <f aca="false">DRE!M5*M17/365</f>
        <v>34008.6400593774</v>
      </c>
    </row>
    <row r="21" customFormat="false" ht="15" hidden="false" customHeight="false" outlineLevel="0" collapsed="false">
      <c r="B21" s="4" t="s">
        <v>232</v>
      </c>
      <c r="D21" s="18" t="n">
        <f aca="false">BP!D10</f>
        <v>6663</v>
      </c>
      <c r="E21" s="18" t="n">
        <f aca="false">BP!E10</f>
        <v>8387</v>
      </c>
      <c r="F21" s="18" t="n">
        <f aca="false">BP!F10</f>
        <v>8875</v>
      </c>
      <c r="G21" s="18" t="n">
        <f aca="false">BP!G10</f>
        <v>8355</v>
      </c>
      <c r="H21" s="18" t="n">
        <f aca="false">BP!H10</f>
        <v>10372</v>
      </c>
      <c r="I21" s="47" t="n">
        <f aca="false">-DRE!I7*I18/365</f>
        <v>12919.8304284164</v>
      </c>
      <c r="J21" s="47" t="n">
        <f aca="false">-DRE!J7*J18/365</f>
        <v>14577.3502370577</v>
      </c>
      <c r="K21" s="47" t="n">
        <f aca="false">-DRE!K7*K18/365</f>
        <v>21282.1424509221</v>
      </c>
      <c r="L21" s="47" t="n">
        <f aca="false">-DRE!L7*L18/365</f>
        <v>23885.8246322755</v>
      </c>
      <c r="M21" s="47" t="n">
        <f aca="false">-DRE!M7*M18/365</f>
        <v>21843.0496289289</v>
      </c>
    </row>
    <row r="22" customFormat="false" ht="15" hidden="false" customHeight="false" outlineLevel="0" collapsed="false">
      <c r="B22" s="4" t="s">
        <v>239</v>
      </c>
      <c r="D22" s="18" t="n">
        <f aca="false">BP!D18</f>
        <v>6090</v>
      </c>
      <c r="E22" s="18" t="n">
        <f aca="false">BP!E18</f>
        <v>3958</v>
      </c>
      <c r="F22" s="18" t="n">
        <f aca="false">BP!F18</f>
        <v>7299</v>
      </c>
      <c r="G22" s="18" t="n">
        <f aca="false">BP!G18</f>
        <v>9649</v>
      </c>
      <c r="H22" s="18" t="n">
        <f aca="false">BP!H18</f>
        <v>22605</v>
      </c>
      <c r="I22" s="47" t="n">
        <f aca="false">-DRE!I7*I19/365</f>
        <v>28009.4033715288</v>
      </c>
      <c r="J22" s="47" t="n">
        <f aca="false">-DRE!J7*J19/365</f>
        <v>28471.3871817533</v>
      </c>
      <c r="K22" s="47" t="n">
        <f aca="false">-DRE!K7*K19/365</f>
        <v>21282.1424509221</v>
      </c>
      <c r="L22" s="47" t="n">
        <f aca="false">-DRE!L7*L19/365</f>
        <v>19977.2351469941</v>
      </c>
      <c r="M22" s="47" t="n">
        <f aca="false">-DRE!M7*M19/365</f>
        <v>23073.6439742207</v>
      </c>
    </row>
    <row r="23" customFormat="false" ht="15" hidden="false" customHeight="false" outlineLevel="0" collapsed="false">
      <c r="B23" s="7" t="s">
        <v>311</v>
      </c>
      <c r="D23" s="33" t="n">
        <f aca="false">D20+D21-D22</f>
        <v>5703</v>
      </c>
      <c r="E23" s="33" t="n">
        <f aca="false">E20+E21-E22</f>
        <v>6872</v>
      </c>
      <c r="F23" s="33" t="n">
        <f aca="false">F20+F21-F22</f>
        <v>8191</v>
      </c>
      <c r="G23" s="33" t="n">
        <f aca="false">G20+G21-G22</f>
        <v>7971</v>
      </c>
      <c r="H23" s="33" t="n">
        <f aca="false">H20+H21-H22</f>
        <v>23964</v>
      </c>
      <c r="I23" s="33" t="n">
        <f aca="false">I20+I21-I22</f>
        <v>37984.705363737</v>
      </c>
      <c r="J23" s="33" t="n">
        <f aca="false">J20+J21-J22</f>
        <v>38800.4569121986</v>
      </c>
      <c r="K23" s="33" t="n">
        <f aca="false">K20+K21-K22</f>
        <v>32743.1492396393</v>
      </c>
      <c r="L23" s="33" t="n">
        <f aca="false">L20+L21-L22</f>
        <v>29028.5846187994</v>
      </c>
      <c r="M23" s="33" t="n">
        <f aca="false">M20+M21-M22</f>
        <v>32778.0457140856</v>
      </c>
    </row>
    <row r="24" customFormat="false" ht="15" hidden="false" customHeight="false" outlineLevel="0" collapsed="false">
      <c r="B24" s="4" t="s">
        <v>312</v>
      </c>
      <c r="E24" s="47" t="n">
        <f aca="false">E23-D23</f>
        <v>1169</v>
      </c>
      <c r="F24" s="47" t="n">
        <f aca="false">F23-E23</f>
        <v>1319</v>
      </c>
      <c r="G24" s="47" t="n">
        <f aca="false">G23-F23</f>
        <v>-220</v>
      </c>
      <c r="H24" s="47" t="n">
        <f aca="false">H23-G23</f>
        <v>15993</v>
      </c>
      <c r="I24" s="47" t="n">
        <f aca="false">I23-H23</f>
        <v>14020.705363737</v>
      </c>
      <c r="J24" s="47" t="n">
        <f aca="false">J23-I23</f>
        <v>815.751548461652</v>
      </c>
      <c r="K24" s="47" t="n">
        <f aca="false">K23-J23</f>
        <v>-6057.30767255933</v>
      </c>
      <c r="L24" s="47" t="n">
        <f aca="false">L23-K23</f>
        <v>-3714.56462083989</v>
      </c>
      <c r="M24" s="47" t="n">
        <f aca="false">M23-L23</f>
        <v>3749.46109528622</v>
      </c>
    </row>
    <row r="26" customFormat="false" ht="15" hidden="false" customHeight="false" outlineLevel="0" collapsed="false">
      <c r="B26" s="3" t="s">
        <v>313</v>
      </c>
    </row>
    <row r="27" customFormat="false" ht="15" hidden="false" customHeight="false" outlineLevel="0" collapsed="false">
      <c r="B27" s="4" t="s">
        <v>314</v>
      </c>
      <c r="I27" s="47" t="n">
        <f aca="false">H29</f>
        <v>5179</v>
      </c>
      <c r="J27" s="47" t="n">
        <f aca="false">I29</f>
        <v>4688</v>
      </c>
      <c r="K27" s="47" t="n">
        <f aca="false">J29</f>
        <v>4688</v>
      </c>
      <c r="L27" s="47" t="n">
        <f aca="false">K29</f>
        <v>4688</v>
      </c>
      <c r="M27" s="47" t="n">
        <f aca="false">L29</f>
        <v>4688</v>
      </c>
    </row>
    <row r="28" customFormat="false" ht="15" hidden="false" customHeight="false" outlineLevel="0" collapsed="false">
      <c r="B28" s="4" t="s">
        <v>315</v>
      </c>
      <c r="C28" s="2" t="s">
        <v>316</v>
      </c>
      <c r="I28" s="47" t="n">
        <f aca="false">-SUMPRODUCT(($D$51:$D$61=I$5)*$E$51:$E$61)</f>
        <v>-491</v>
      </c>
      <c r="J28" s="47" t="n">
        <f aca="false">-SUMPRODUCT(($D$51:$D$61=J$5)*$E$51:$E$61)</f>
        <v>-0</v>
      </c>
      <c r="K28" s="47" t="n">
        <f aca="false">-SUMPRODUCT(($D$51:$D$61=K$5)*$E$51:$E$61)</f>
        <v>-0</v>
      </c>
      <c r="L28" s="47" t="n">
        <f aca="false">-SUMPRODUCT(($D$51:$D$61=L$5)*$E$51:$E$61)</f>
        <v>-0</v>
      </c>
      <c r="M28" s="47" t="n">
        <f aca="false">-SUMPRODUCT(($D$51:$D$61=M$5)*$E$51:$E$61)</f>
        <v>-261</v>
      </c>
    </row>
    <row r="29" customFormat="false" ht="15" hidden="false" customHeight="false" outlineLevel="0" collapsed="false">
      <c r="B29" s="7" t="s">
        <v>317</v>
      </c>
      <c r="H29" s="15" t="n">
        <f aca="false">BP!H19+BP!H22</f>
        <v>5179</v>
      </c>
      <c r="I29" s="33" t="n">
        <f aca="false">I27+I28</f>
        <v>4688</v>
      </c>
      <c r="J29" s="33" t="n">
        <f aca="false">J27+J28</f>
        <v>4688</v>
      </c>
      <c r="K29" s="33" t="n">
        <f aca="false">K27+K28</f>
        <v>4688</v>
      </c>
      <c r="L29" s="33" t="n">
        <f aca="false">L27+L28</f>
        <v>4688</v>
      </c>
      <c r="M29" s="33" t="n">
        <f aca="false">M27+M28</f>
        <v>4427</v>
      </c>
    </row>
    <row r="30" customFormat="false" ht="15" hidden="false" customHeight="false" outlineLevel="0" collapsed="false">
      <c r="B30" s="4" t="s">
        <v>318</v>
      </c>
      <c r="I30" s="47" t="n">
        <f aca="false">SUMPRODUCT(($D$51:$D$61=I$5+1)*$E$51:$E$61)</f>
        <v>0</v>
      </c>
      <c r="J30" s="47" t="n">
        <f aca="false">SUMPRODUCT(($D$51:$D$61=J$5+1)*$E$51:$E$61)</f>
        <v>0</v>
      </c>
      <c r="K30" s="47" t="n">
        <f aca="false">SUMPRODUCT(($D$51:$D$61=K$5+1)*$E$51:$E$61)</f>
        <v>0</v>
      </c>
      <c r="L30" s="47" t="n">
        <f aca="false">SUMPRODUCT(($D$51:$D$61=L$5+1)*$E$51:$E$61)</f>
        <v>261</v>
      </c>
      <c r="M30" s="47" t="n">
        <f aca="false">SUMPRODUCT(($D$51:$D$61=M$5+1)*$E$51:$E$61)</f>
        <v>1066</v>
      </c>
    </row>
    <row r="31" customFormat="false" ht="15" hidden="false" customHeight="false" outlineLevel="0" collapsed="false">
      <c r="B31" s="4" t="s">
        <v>319</v>
      </c>
      <c r="I31" s="47" t="n">
        <f aca="false">I29-I30</f>
        <v>4688</v>
      </c>
      <c r="J31" s="47" t="n">
        <f aca="false">J29-J30</f>
        <v>4688</v>
      </c>
      <c r="K31" s="47" t="n">
        <f aca="false">K29-K30</f>
        <v>4688</v>
      </c>
      <c r="L31" s="47" t="n">
        <f aca="false">L29-L30</f>
        <v>4427</v>
      </c>
      <c r="M31" s="47" t="n">
        <f aca="false">M29-M30</f>
        <v>3361</v>
      </c>
    </row>
    <row r="32" customFormat="false" ht="15" hidden="false" customHeight="false" outlineLevel="0" collapsed="false">
      <c r="B32" s="2" t="s">
        <v>320</v>
      </c>
      <c r="I32" s="59" t="n">
        <f aca="false">Premissas!I125</f>
        <v>0.045</v>
      </c>
      <c r="J32" s="59" t="n">
        <f aca="false">Premissas!J125</f>
        <v>0.045</v>
      </c>
      <c r="K32" s="59" t="n">
        <f aca="false">Premissas!K125</f>
        <v>0.045</v>
      </c>
      <c r="L32" s="59" t="n">
        <f aca="false">Premissas!L125</f>
        <v>0.045</v>
      </c>
      <c r="M32" s="59" t="n">
        <f aca="false">Premissas!M125</f>
        <v>0.045</v>
      </c>
    </row>
    <row r="33" customFormat="false" ht="15" hidden="false" customHeight="false" outlineLevel="0" collapsed="false">
      <c r="B33" s="4" t="s">
        <v>321</v>
      </c>
      <c r="I33" s="47" t="n">
        <f aca="false">-(I27+I29)/2*I32</f>
        <v>-222.0075</v>
      </c>
      <c r="J33" s="47" t="n">
        <f aca="false">-(J27+J29)/2*J32</f>
        <v>-210.96</v>
      </c>
      <c r="K33" s="47" t="n">
        <f aca="false">-(K27+K29)/2*K32</f>
        <v>-210.96</v>
      </c>
      <c r="L33" s="47" t="n">
        <f aca="false">-(L27+L29)/2*L32</f>
        <v>-210.96</v>
      </c>
      <c r="M33" s="47" t="n">
        <f aca="false">-(M27+M29)/2*M32</f>
        <v>-205.0875</v>
      </c>
    </row>
    <row r="34" customFormat="false" ht="15" hidden="false" customHeight="false" outlineLevel="0" collapsed="false">
      <c r="B34" s="4" t="s">
        <v>322</v>
      </c>
      <c r="I34" s="18" t="n">
        <f aca="false">BP!H5</f>
        <v>73453</v>
      </c>
      <c r="J34" s="18" t="n">
        <f aca="false">BP!I5</f>
        <v>129885.077994223</v>
      </c>
      <c r="K34" s="18" t="n">
        <f aca="false">BP!J5</f>
        <v>142423.537178506</v>
      </c>
      <c r="L34" s="18" t="n">
        <f aca="false">BP!K5</f>
        <v>149474.80548985</v>
      </c>
      <c r="M34" s="18" t="n">
        <f aca="false">BP!L5</f>
        <v>157075.235382448</v>
      </c>
    </row>
    <row r="35" customFormat="false" ht="15" hidden="false" customHeight="false" outlineLevel="0" collapsed="false">
      <c r="B35" s="2" t="s">
        <v>323</v>
      </c>
      <c r="I35" s="59" t="n">
        <f aca="false">Premissas!I119</f>
        <v>0.043</v>
      </c>
      <c r="J35" s="59" t="n">
        <f aca="false">Premissas!J119</f>
        <v>0.041</v>
      </c>
      <c r="K35" s="59" t="n">
        <f aca="false">Premissas!K119</f>
        <v>0.038</v>
      </c>
      <c r="L35" s="59" t="n">
        <f aca="false">Premissas!L119</f>
        <v>0.036</v>
      </c>
      <c r="M35" s="59" t="n">
        <f aca="false">Premissas!M119</f>
        <v>0.036</v>
      </c>
    </row>
    <row r="36" customFormat="false" ht="15" hidden="false" customHeight="false" outlineLevel="0" collapsed="false">
      <c r="B36" s="4" t="s">
        <v>324</v>
      </c>
      <c r="C36" s="2" t="s">
        <v>325</v>
      </c>
      <c r="I36" s="47" t="n">
        <f aca="false">I34*I35</f>
        <v>3158.479</v>
      </c>
      <c r="J36" s="47" t="n">
        <f aca="false">J34*J35</f>
        <v>5325.28819776314</v>
      </c>
      <c r="K36" s="47" t="n">
        <f aca="false">K34*K35</f>
        <v>5412.09441278323</v>
      </c>
      <c r="L36" s="47" t="n">
        <f aca="false">L34*L35</f>
        <v>5381.09299763461</v>
      </c>
      <c r="M36" s="47" t="n">
        <f aca="false">M34*M35</f>
        <v>5654.70847376813</v>
      </c>
    </row>
    <row r="38" customFormat="false" ht="15" hidden="false" customHeight="false" outlineLevel="0" collapsed="false">
      <c r="B38" s="3" t="s">
        <v>326</v>
      </c>
    </row>
    <row r="39" customFormat="false" ht="15" hidden="false" customHeight="false" outlineLevel="0" collapsed="false">
      <c r="B39" s="4" t="s">
        <v>327</v>
      </c>
      <c r="I39" s="47" t="n">
        <f aca="false">H44</f>
        <v>1150</v>
      </c>
      <c r="J39" s="47" t="n">
        <f aca="false">I44</f>
        <v>1079.72727272727</v>
      </c>
      <c r="K39" s="47" t="n">
        <f aca="false">J44</f>
        <v>947.596837944664</v>
      </c>
      <c r="L39" s="47" t="n">
        <f aca="false">K44</f>
        <v>828.28104847098</v>
      </c>
      <c r="M39" s="47" t="n">
        <f aca="false">L44</f>
        <v>729.03104847098</v>
      </c>
    </row>
    <row r="40" customFormat="false" ht="15" hidden="false" customHeight="false" outlineLevel="0" collapsed="false">
      <c r="B40" s="4" t="s">
        <v>92</v>
      </c>
      <c r="I40" s="18" t="n">
        <f aca="false">Premissas!I107</f>
        <v>85000</v>
      </c>
      <c r="J40" s="18" t="n">
        <f aca="false">Premissas!J107</f>
        <v>160000</v>
      </c>
      <c r="K40" s="18" t="n">
        <f aca="false">Premissas!K107</f>
        <v>120000</v>
      </c>
      <c r="L40" s="18" t="n">
        <f aca="false">Premissas!L107</f>
        <v>85000</v>
      </c>
      <c r="M40" s="18" t="n">
        <f aca="false">Premissas!M107</f>
        <v>100000</v>
      </c>
    </row>
    <row r="41" customFormat="false" ht="15" hidden="false" customHeight="false" outlineLevel="0" collapsed="false">
      <c r="B41" s="4" t="s">
        <v>328</v>
      </c>
      <c r="I41" s="60" t="n">
        <f aca="false">Premissas!I131</f>
        <v>1100</v>
      </c>
      <c r="J41" s="60" t="n">
        <f aca="false">Premissas!J131</f>
        <v>1150</v>
      </c>
      <c r="K41" s="60" t="n">
        <f aca="false">Premissas!K131</f>
        <v>950</v>
      </c>
      <c r="L41" s="60" t="n">
        <f aca="false">Premissas!L131</f>
        <v>800</v>
      </c>
      <c r="M41" s="60" t="n">
        <f aca="false">Premissas!M131</f>
        <v>900</v>
      </c>
    </row>
    <row r="42" customFormat="false" ht="15" hidden="false" customHeight="false" outlineLevel="0" collapsed="false">
      <c r="B42" s="4" t="s">
        <v>329</v>
      </c>
      <c r="I42" s="47" t="n">
        <f aca="false">-I40/I41</f>
        <v>-77.2727272727273</v>
      </c>
      <c r="J42" s="47" t="n">
        <f aca="false">-J40/J41</f>
        <v>-139.130434782609</v>
      </c>
      <c r="K42" s="47" t="n">
        <f aca="false">-K40/K41</f>
        <v>-126.315789473684</v>
      </c>
      <c r="L42" s="47" t="n">
        <f aca="false">-L40/L41</f>
        <v>-106.25</v>
      </c>
      <c r="M42" s="47" t="n">
        <f aca="false">-M40/M41</f>
        <v>-111.111111111111</v>
      </c>
    </row>
    <row r="43" customFormat="false" ht="15" hidden="false" customHeight="false" outlineLevel="0" collapsed="false">
      <c r="B43" s="4" t="s">
        <v>330</v>
      </c>
      <c r="I43" s="18" t="n">
        <f aca="false">Premissas!I137</f>
        <v>7</v>
      </c>
      <c r="J43" s="18" t="n">
        <f aca="false">Premissas!J137</f>
        <v>7</v>
      </c>
      <c r="K43" s="18" t="n">
        <f aca="false">Premissas!K137</f>
        <v>7</v>
      </c>
      <c r="L43" s="18" t="n">
        <f aca="false">Premissas!L137</f>
        <v>7</v>
      </c>
      <c r="M43" s="18" t="n">
        <f aca="false">Premissas!M137</f>
        <v>7</v>
      </c>
    </row>
    <row r="44" customFormat="false" ht="15" hidden="false" customHeight="false" outlineLevel="0" collapsed="false">
      <c r="B44" s="7" t="s">
        <v>331</v>
      </c>
      <c r="C44" s="2" t="s">
        <v>332</v>
      </c>
      <c r="H44" s="32" t="n">
        <v>1150</v>
      </c>
      <c r="I44" s="33" t="n">
        <f aca="false">I39+I42+I43</f>
        <v>1079.72727272727</v>
      </c>
      <c r="J44" s="33" t="n">
        <f aca="false">J39+J42+J43</f>
        <v>947.596837944664</v>
      </c>
      <c r="K44" s="33" t="n">
        <f aca="false">K39+K42+K43</f>
        <v>828.28104847098</v>
      </c>
      <c r="L44" s="33" t="n">
        <f aca="false">L39+L42+L43</f>
        <v>729.03104847098</v>
      </c>
      <c r="M44" s="33" t="n">
        <f aca="false">M39+M42+M43</f>
        <v>624.919937359869</v>
      </c>
    </row>
    <row r="45" customFormat="false" ht="15" hidden="false" customHeight="false" outlineLevel="0" collapsed="false">
      <c r="B45" s="7" t="s">
        <v>333</v>
      </c>
      <c r="I45" s="33" t="n">
        <f aca="false">(I39+I44)/2</f>
        <v>1114.86363636364</v>
      </c>
      <c r="J45" s="33" t="n">
        <f aca="false">(J39+J44)/2</f>
        <v>1013.66205533597</v>
      </c>
      <c r="K45" s="33" t="n">
        <f aca="false">(K39+K44)/2</f>
        <v>887.938943207822</v>
      </c>
      <c r="L45" s="33" t="n">
        <f aca="false">(L39+L44)/2</f>
        <v>778.65604847098</v>
      </c>
      <c r="M45" s="33" t="n">
        <f aca="false">(M39+M44)/2</f>
        <v>676.975492915424</v>
      </c>
    </row>
    <row r="46" customFormat="false" ht="15" hidden="false" customHeight="false" outlineLevel="0" collapsed="false">
      <c r="B46" s="4" t="s">
        <v>222</v>
      </c>
      <c r="D46" s="61" t="n">
        <f aca="false">DRE!D42</f>
        <v>0.415</v>
      </c>
      <c r="E46" s="61" t="n">
        <f aca="false">DRE!E42</f>
        <v>0.46</v>
      </c>
      <c r="F46" s="61" t="n">
        <f aca="false">DRE!F42</f>
        <v>0.46</v>
      </c>
      <c r="G46" s="61" t="n">
        <f aca="false">DRE!G42</f>
        <v>0.46</v>
      </c>
      <c r="H46" s="61" t="n">
        <f aca="false">DRE!H42</f>
        <v>0.53</v>
      </c>
      <c r="I46" s="61" t="n">
        <f aca="false">DRE!I42</f>
        <v>0.6996</v>
      </c>
      <c r="J46" s="61" t="n">
        <f aca="false">DRE!J42</f>
        <v>0.902484</v>
      </c>
      <c r="K46" s="61" t="n">
        <f aca="false">DRE!K42</f>
        <v>1.06493112</v>
      </c>
      <c r="L46" s="61" t="n">
        <f aca="false">DRE!L42</f>
        <v>1.1288269872</v>
      </c>
      <c r="M46" s="61" t="n">
        <f aca="false">DRE!M42</f>
        <v>1.18526833656</v>
      </c>
    </row>
    <row r="47" customFormat="false" ht="15" hidden="false" customHeight="false" outlineLevel="0" collapsed="false">
      <c r="B47" s="4" t="s">
        <v>334</v>
      </c>
      <c r="D47" s="18" t="n">
        <f aca="false">-FC!D27</f>
        <v>461</v>
      </c>
      <c r="E47" s="18" t="n">
        <f aca="false">-FC!E27</f>
        <v>504</v>
      </c>
      <c r="F47" s="18" t="n">
        <f aca="false">-FC!F27</f>
        <v>513</v>
      </c>
      <c r="G47" s="18" t="n">
        <f aca="false">-FC!G27</f>
        <v>522</v>
      </c>
      <c r="H47" s="18" t="n">
        <f aca="false">-FC!H27</f>
        <v>610</v>
      </c>
      <c r="I47" s="47" t="n">
        <f aca="false">I46*I45</f>
        <v>779.9586</v>
      </c>
      <c r="J47" s="47" t="n">
        <f aca="false">J46*J45</f>
        <v>914.813786347826</v>
      </c>
      <c r="K47" s="47" t="n">
        <f aca="false">K46*K45</f>
        <v>945.593813281922</v>
      </c>
      <c r="L47" s="47" t="n">
        <f aca="false">L46*L45</f>
        <v>878.967961260554</v>
      </c>
      <c r="M47" s="47" t="n">
        <f aca="false">M46*M45</f>
        <v>802.397616379751</v>
      </c>
    </row>
    <row r="49" customFormat="false" ht="15" hidden="false" customHeight="false" outlineLevel="0" collapsed="false">
      <c r="B49" s="3" t="s">
        <v>335</v>
      </c>
    </row>
    <row r="50" customFormat="false" ht="15" hidden="false" customHeight="false" outlineLevel="0" collapsed="false">
      <c r="B50" s="62" t="s">
        <v>336</v>
      </c>
      <c r="C50" s="62" t="s">
        <v>337</v>
      </c>
      <c r="D50" s="62" t="s">
        <v>338</v>
      </c>
      <c r="E50" s="62" t="s">
        <v>339</v>
      </c>
      <c r="F50" s="62" t="s">
        <v>340</v>
      </c>
      <c r="G50" s="62" t="s">
        <v>341</v>
      </c>
    </row>
    <row r="51" customFormat="false" ht="15" hidden="false" customHeight="false" outlineLevel="0" collapsed="false">
      <c r="B51" s="4" t="s">
        <v>342</v>
      </c>
      <c r="C51" s="30" t="n">
        <v>0.053</v>
      </c>
      <c r="D51" s="43" t="n">
        <v>2031</v>
      </c>
      <c r="E51" s="32" t="n">
        <v>261</v>
      </c>
      <c r="F51" s="2" t="s">
        <v>172</v>
      </c>
      <c r="G51" s="2" t="s">
        <v>343</v>
      </c>
    </row>
    <row r="52" customFormat="false" ht="15" hidden="false" customHeight="false" outlineLevel="0" collapsed="false">
      <c r="B52" s="4" t="s">
        <v>344</v>
      </c>
      <c r="C52" s="30" t="n">
        <v>0.02703</v>
      </c>
      <c r="D52" s="43" t="n">
        <v>2032</v>
      </c>
      <c r="E52" s="32" t="n">
        <v>996</v>
      </c>
      <c r="F52" s="2"/>
      <c r="G52" s="2" t="s">
        <v>345</v>
      </c>
    </row>
    <row r="53" customFormat="false" ht="15" hidden="false" customHeight="false" outlineLevel="0" collapsed="false">
      <c r="B53" s="4" t="s">
        <v>346</v>
      </c>
      <c r="C53" s="30" t="n">
        <v>0.0565</v>
      </c>
      <c r="D53" s="43" t="n">
        <v>2032</v>
      </c>
      <c r="E53" s="32" t="n">
        <v>70</v>
      </c>
      <c r="F53" s="2" t="s">
        <v>172</v>
      </c>
      <c r="G53" s="2" t="s">
        <v>347</v>
      </c>
    </row>
    <row r="54" customFormat="false" ht="15" hidden="false" customHeight="false" outlineLevel="0" collapsed="false">
      <c r="B54" s="4" t="s">
        <v>348</v>
      </c>
      <c r="C54" s="30" t="n">
        <v>0.05875</v>
      </c>
      <c r="D54" s="43" t="n">
        <v>2033</v>
      </c>
      <c r="E54" s="32" t="n">
        <v>175</v>
      </c>
      <c r="F54" s="2" t="s">
        <v>172</v>
      </c>
      <c r="G54" s="2" t="s">
        <v>349</v>
      </c>
    </row>
    <row r="55" customFormat="false" ht="15" hidden="false" customHeight="false" outlineLevel="0" collapsed="false">
      <c r="B55" s="4" t="s">
        <v>350</v>
      </c>
      <c r="C55" s="30" t="n">
        <v>0.05875</v>
      </c>
      <c r="D55" s="43" t="n">
        <v>2033</v>
      </c>
      <c r="E55" s="32" t="n">
        <v>213</v>
      </c>
      <c r="F55" s="2" t="s">
        <v>172</v>
      </c>
      <c r="G55" s="2" t="s">
        <v>351</v>
      </c>
    </row>
    <row r="56" customFormat="false" ht="15" hidden="false" customHeight="false" outlineLevel="0" collapsed="false">
      <c r="B56" s="4" t="s">
        <v>352</v>
      </c>
      <c r="C56" s="30" t="n">
        <v>0.058</v>
      </c>
      <c r="D56" s="43" t="n">
        <v>2035</v>
      </c>
      <c r="E56" s="32" t="n">
        <v>135</v>
      </c>
      <c r="F56" s="2" t="s">
        <v>172</v>
      </c>
      <c r="G56" s="2" t="s">
        <v>353</v>
      </c>
    </row>
    <row r="57" customFormat="false" ht="15" hidden="false" customHeight="false" outlineLevel="0" collapsed="false">
      <c r="B57" s="4" t="s">
        <v>354</v>
      </c>
      <c r="C57" s="30" t="n">
        <v>0.0605</v>
      </c>
      <c r="D57" s="43" t="n">
        <v>2035</v>
      </c>
      <c r="E57" s="32" t="n">
        <v>219</v>
      </c>
      <c r="F57" s="2" t="s">
        <v>172</v>
      </c>
      <c r="G57" s="2" t="s">
        <v>355</v>
      </c>
    </row>
    <row r="58" customFormat="false" ht="15" hidden="false" customHeight="false" outlineLevel="0" collapsed="false">
      <c r="B58" s="4" t="s">
        <v>356</v>
      </c>
      <c r="C58" s="30" t="n">
        <v>0.03366</v>
      </c>
      <c r="D58" s="43" t="n">
        <v>2041</v>
      </c>
      <c r="E58" s="32" t="n">
        <v>497</v>
      </c>
      <c r="F58" s="2"/>
      <c r="G58" s="2" t="s">
        <v>357</v>
      </c>
    </row>
    <row r="59" customFormat="false" ht="15" hidden="false" customHeight="false" outlineLevel="0" collapsed="false">
      <c r="B59" s="4" t="s">
        <v>358</v>
      </c>
      <c r="C59" s="30" t="n">
        <v>0.03477</v>
      </c>
      <c r="D59" s="43" t="n">
        <v>2051</v>
      </c>
      <c r="E59" s="32" t="n">
        <v>486</v>
      </c>
      <c r="F59" s="2" t="s">
        <v>172</v>
      </c>
      <c r="G59" s="2" t="s">
        <v>359</v>
      </c>
    </row>
    <row r="60" customFormat="false" ht="15" hidden="false" customHeight="false" outlineLevel="0" collapsed="false">
      <c r="B60" s="4" t="s">
        <v>360</v>
      </c>
      <c r="C60" s="30" t="n">
        <v>0.0472</v>
      </c>
      <c r="D60" s="44" t="s">
        <v>361</v>
      </c>
      <c r="E60" s="32" t="n">
        <v>2670</v>
      </c>
      <c r="F60" s="2" t="s">
        <v>172</v>
      </c>
      <c r="G60" s="2" t="s">
        <v>362</v>
      </c>
    </row>
    <row r="61" customFormat="false" ht="15" hidden="false" customHeight="false" outlineLevel="0" collapsed="false">
      <c r="B61" s="4" t="s">
        <v>363</v>
      </c>
      <c r="C61" s="4"/>
      <c r="D61" s="43" t="n">
        <v>2027</v>
      </c>
      <c r="E61" s="18" t="n">
        <f aca="false">BP!$H$19</f>
        <v>491</v>
      </c>
      <c r="G61" s="2" t="s">
        <v>364</v>
      </c>
    </row>
    <row r="62" customFormat="false" ht="15" hidden="false" customHeight="false" outlineLevel="0" collapsed="false">
      <c r="B62" s="7" t="s">
        <v>365</v>
      </c>
      <c r="E62" s="33" t="n">
        <f aca="false">SUM(E51:E61)</f>
        <v>6213</v>
      </c>
    </row>
    <row r="63" customFormat="false" ht="15" hidden="false" customHeight="false" outlineLevel="0" collapsed="false">
      <c r="B63" s="2" t="s">
        <v>366</v>
      </c>
      <c r="E63" s="47" t="n">
        <f aca="false">BP!$H$19+BP!$H$22</f>
        <v>5179</v>
      </c>
    </row>
    <row r="64" customFormat="false" ht="15" hidden="false" customHeight="false" outlineLevel="0" collapsed="false">
      <c r="B64" s="2" t="s">
        <v>367</v>
      </c>
      <c r="E64" s="48" t="n">
        <f aca="false">E63-E62</f>
        <v>-1034</v>
      </c>
    </row>
    <row r="65" customFormat="false" ht="15" hidden="false" customHeight="false" outlineLevel="0" collapsed="false">
      <c r="B65" s="2" t="s">
        <v>368</v>
      </c>
      <c r="E65" s="59" t="n">
        <f aca="false">SUMPRODUCT(C51:C60,E51:E60)/SUM(E51:E60)</f>
        <v>0.0433826668996854</v>
      </c>
    </row>
    <row r="66" customFormat="false" ht="15" hidden="false" customHeight="false" outlineLevel="0" collapsed="false">
      <c r="B66" s="2" t="s">
        <v>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8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13" min="4" style="0" width="10"/>
    <col collapsed="false" customWidth="true" hidden="false" outlineLevel="0" max="14" min="14" style="0" width="12"/>
  </cols>
  <sheetData>
    <row r="1" customFormat="false" ht="15" hidden="false" customHeight="false" outlineLevel="0" collapsed="false">
      <c r="B1" s="1" t="s">
        <v>370</v>
      </c>
    </row>
    <row r="2" customFormat="false" ht="15" hidden="false" customHeight="false" outlineLevel="0" collapsed="false">
      <c r="B2" s="2" t="s">
        <v>371</v>
      </c>
    </row>
    <row r="4" customFormat="false" ht="15" hidden="false" customHeight="false" outlineLevel="0" collapsed="false">
      <c r="B4" s="12" t="s">
        <v>16</v>
      </c>
      <c r="C4" s="13"/>
      <c r="D4" s="14" t="s">
        <v>65</v>
      </c>
      <c r="E4" s="14" t="s">
        <v>66</v>
      </c>
      <c r="F4" s="14" t="s">
        <v>17</v>
      </c>
      <c r="G4" s="14" t="s">
        <v>18</v>
      </c>
      <c r="H4" s="14" t="s">
        <v>19</v>
      </c>
      <c r="I4" s="14" t="s">
        <v>20</v>
      </c>
      <c r="J4" s="14" t="s">
        <v>21</v>
      </c>
      <c r="K4" s="14" t="s">
        <v>22</v>
      </c>
      <c r="L4" s="14" t="s">
        <v>67</v>
      </c>
      <c r="M4" s="14" t="s">
        <v>68</v>
      </c>
      <c r="N4" s="14" t="s">
        <v>372</v>
      </c>
    </row>
    <row r="5" customFormat="false" ht="15" hidden="false" customHeight="false" outlineLevel="0" collapsed="false">
      <c r="B5" s="2" t="s">
        <v>373</v>
      </c>
      <c r="I5" s="55" t="n">
        <v>1</v>
      </c>
      <c r="J5" s="55" t="n">
        <v>2</v>
      </c>
      <c r="K5" s="55" t="n">
        <v>3</v>
      </c>
      <c r="L5" s="55" t="n">
        <v>4</v>
      </c>
      <c r="M5" s="55" t="n">
        <v>5</v>
      </c>
    </row>
    <row r="6" customFormat="false" ht="15" hidden="false" customHeight="false" outlineLevel="0" collapsed="false">
      <c r="B6" s="7" t="s">
        <v>23</v>
      </c>
      <c r="I6" s="15" t="n">
        <f aca="false">DRE!I5</f>
        <v>272846.642</v>
      </c>
      <c r="J6" s="15" t="n">
        <f aca="false">DRE!J5</f>
        <v>300523.2852776</v>
      </c>
      <c r="K6" s="15" t="n">
        <f aca="false">DRE!K5</f>
        <v>213415.16915122</v>
      </c>
      <c r="L6" s="15" t="n">
        <f aca="false">DRE!L5</f>
        <v>166705.42224971</v>
      </c>
      <c r="M6" s="15" t="n">
        <f aca="false">DRE!M5</f>
        <v>206885.893694546</v>
      </c>
      <c r="N6" s="33" t="n">
        <f aca="false">M6*Premissas!$I$149</f>
        <v>196541.599009818</v>
      </c>
    </row>
    <row r="7" customFormat="false" ht="15" hidden="false" customHeight="false" outlineLevel="0" collapsed="false">
      <c r="B7" s="2" t="s">
        <v>25</v>
      </c>
      <c r="I7" s="16" t="n">
        <f aca="false">DRE!I9</f>
        <v>0.868065076600796</v>
      </c>
      <c r="J7" s="16" t="n">
        <f aca="false">DRE!J9</f>
        <v>0.861680517544714</v>
      </c>
      <c r="K7" s="16" t="n">
        <f aca="false">DRE!K9</f>
        <v>0.769630044578154</v>
      </c>
      <c r="L7" s="16" t="n">
        <f aca="false">DRE!L9</f>
        <v>0.683043666936538</v>
      </c>
      <c r="M7" s="16" t="n">
        <f aca="false">DRE!M9</f>
        <v>0.72861432937118</v>
      </c>
      <c r="N7" s="17" t="n">
        <f aca="false">Premissas!$I$144</f>
        <v>0.62</v>
      </c>
    </row>
    <row r="8" customFormat="false" ht="15" hidden="false" customHeight="false" outlineLevel="0" collapsed="false">
      <c r="B8" s="4" t="s">
        <v>374</v>
      </c>
      <c r="I8" s="47" t="n">
        <f aca="false">I6*I7</f>
        <v>236848.641188</v>
      </c>
      <c r="J8" s="47" t="n">
        <f aca="false">J6*J7</f>
        <v>258955.05999224</v>
      </c>
      <c r="K8" s="47" t="n">
        <f aca="false">K6*K7</f>
        <v>164250.726147508</v>
      </c>
      <c r="L8" s="47" t="n">
        <f aca="false">L6*L7</f>
        <v>113867.082911646</v>
      </c>
      <c r="M8" s="47" t="n">
        <f aca="false">M6*M7</f>
        <v>150740.026690609</v>
      </c>
      <c r="N8" s="47" t="n">
        <f aca="false">N6*N7</f>
        <v>121855.791386087</v>
      </c>
    </row>
    <row r="9" customFormat="false" ht="15" hidden="false" customHeight="false" outlineLevel="0" collapsed="false">
      <c r="B9" s="4" t="s">
        <v>375</v>
      </c>
      <c r="I9" s="47" t="n">
        <f aca="false">DRE!I10+DRE!I11+DRE!I12</f>
        <v>-9891.75</v>
      </c>
      <c r="J9" s="47" t="n">
        <f aca="false">DRE!J10+DRE!J11+DRE!J12</f>
        <v>-11080.3275</v>
      </c>
      <c r="K9" s="47" t="n">
        <f aca="false">DRE!K10+DRE!K11+DRE!K12</f>
        <v>-11306.625825</v>
      </c>
      <c r="L9" s="47" t="n">
        <f aca="false">DRE!L10+DRE!L11+DRE!L12</f>
        <v>-11001.70551975</v>
      </c>
      <c r="M9" s="47" t="n">
        <f aca="false">DRE!M10+DRE!M11+DRE!M12</f>
        <v>-11636.8583844975</v>
      </c>
      <c r="N9" s="47" t="n">
        <f aca="false">-N6*Premissas!$I$154</f>
        <v>-14150.9951287069</v>
      </c>
    </row>
    <row r="10" customFormat="false" ht="15" hidden="false" customHeight="false" outlineLevel="0" collapsed="false">
      <c r="B10" s="7" t="s">
        <v>28</v>
      </c>
      <c r="I10" s="33" t="n">
        <f aca="false">I8+I9</f>
        <v>226956.891188</v>
      </c>
      <c r="J10" s="33" t="n">
        <f aca="false">J8+J9</f>
        <v>247874.73249224</v>
      </c>
      <c r="K10" s="33" t="n">
        <f aca="false">K8+K9</f>
        <v>152944.100322508</v>
      </c>
      <c r="L10" s="33" t="n">
        <f aca="false">L8+L9</f>
        <v>102865.377391896</v>
      </c>
      <c r="M10" s="33" t="n">
        <f aca="false">M8+M9</f>
        <v>139103.168306111</v>
      </c>
      <c r="N10" s="33" t="n">
        <f aca="false">N8+N9</f>
        <v>107704.796257381</v>
      </c>
    </row>
    <row r="11" customFormat="false" ht="15" hidden="false" customHeight="false" outlineLevel="0" collapsed="false">
      <c r="B11" s="2" t="s">
        <v>197</v>
      </c>
      <c r="I11" s="16" t="n">
        <f aca="false">I10/I6</f>
        <v>0.831811194465791</v>
      </c>
      <c r="J11" s="16" t="n">
        <f aca="false">J10/J6</f>
        <v>0.824810404502509</v>
      </c>
      <c r="K11" s="16" t="n">
        <f aca="false">K10/K6</f>
        <v>0.716650559239938</v>
      </c>
      <c r="L11" s="16" t="n">
        <f aca="false">L10/L6</f>
        <v>0.617048779840002</v>
      </c>
      <c r="M11" s="16" t="n">
        <f aca="false">M10/M6</f>
        <v>0.672366616312123</v>
      </c>
      <c r="N11" s="16" t="n">
        <f aca="false">N10/N6</f>
        <v>0.548</v>
      </c>
    </row>
    <row r="12" customFormat="false" ht="15" hidden="false" customHeight="false" outlineLevel="0" collapsed="false">
      <c r="B12" s="2" t="s">
        <v>106</v>
      </c>
      <c r="I12" s="16" t="n">
        <f aca="false">Premissas!I83</f>
        <v>0.155</v>
      </c>
      <c r="J12" s="16" t="n">
        <f aca="false">Premissas!J83</f>
        <v>0.158</v>
      </c>
      <c r="K12" s="16" t="n">
        <f aca="false">Premissas!K83</f>
        <v>0.15</v>
      </c>
      <c r="L12" s="16" t="n">
        <f aca="false">Premissas!L83</f>
        <v>0.165</v>
      </c>
      <c r="M12" s="16" t="n">
        <f aca="false">Premissas!M83</f>
        <v>0.155</v>
      </c>
      <c r="N12" s="17" t="n">
        <f aca="false">Premissas!$I$169</f>
        <v>0.155</v>
      </c>
    </row>
    <row r="13" customFormat="false" ht="15" hidden="false" customHeight="false" outlineLevel="0" collapsed="false">
      <c r="B13" s="4" t="s">
        <v>376</v>
      </c>
      <c r="I13" s="47" t="n">
        <f aca="false">I10*(1-I12)</f>
        <v>191778.57305386</v>
      </c>
      <c r="J13" s="47" t="n">
        <f aca="false">J10*(1-J12)</f>
        <v>208710.524758466</v>
      </c>
      <c r="K13" s="47" t="n">
        <f aca="false">K10*(1-K12)</f>
        <v>130002.485274132</v>
      </c>
      <c r="L13" s="47" t="n">
        <f aca="false">L10*(1-L12)</f>
        <v>85892.5901222331</v>
      </c>
      <c r="M13" s="47" t="n">
        <f aca="false">M10*(1-M12)</f>
        <v>117542.177218664</v>
      </c>
      <c r="N13" s="47" t="n">
        <f aca="false">N10*(1-N12)</f>
        <v>91010.5528374865</v>
      </c>
    </row>
    <row r="14" customFormat="false" ht="15" hidden="false" customHeight="false" outlineLevel="0" collapsed="false">
      <c r="B14" s="4" t="s">
        <v>257</v>
      </c>
      <c r="I14" s="18" t="n">
        <f aca="false">-Suporte!I10</f>
        <v>12472.07</v>
      </c>
      <c r="J14" s="18" t="n">
        <f aca="false">-Suporte!J10</f>
        <v>16968.25845</v>
      </c>
      <c r="K14" s="18" t="n">
        <f aca="false">-Suporte!K10</f>
        <v>23019.147448</v>
      </c>
      <c r="L14" s="18" t="n">
        <f aca="false">-Suporte!L10</f>
        <v>27004.58909734</v>
      </c>
      <c r="M14" s="18" t="n">
        <f aca="false">-Suporte!M10</f>
        <v>29132.2683008388</v>
      </c>
      <c r="N14" s="47" t="n">
        <f aca="false">N6*Premissas!$I$164</f>
        <v>32429.3638366201</v>
      </c>
    </row>
    <row r="15" customFormat="false" ht="15" hidden="false" customHeight="false" outlineLevel="0" collapsed="false">
      <c r="B15" s="4" t="s">
        <v>267</v>
      </c>
      <c r="I15" s="18" t="n">
        <f aca="false">-Suporte!I9</f>
        <v>-52000</v>
      </c>
      <c r="J15" s="18" t="n">
        <f aca="false">-Suporte!J9</f>
        <v>-58000</v>
      </c>
      <c r="K15" s="18" t="n">
        <f aca="false">-Suporte!K9</f>
        <v>-38000</v>
      </c>
      <c r="L15" s="18" t="n">
        <f aca="false">-Suporte!L9</f>
        <v>-30000</v>
      </c>
      <c r="M15" s="18" t="n">
        <f aca="false">-Suporte!M9</f>
        <v>-36000</v>
      </c>
      <c r="N15" s="47" t="n">
        <f aca="false">-N6*Premissas!$I$159</f>
        <v>-47169.9837623564</v>
      </c>
    </row>
    <row r="16" customFormat="false" ht="15" hidden="false" customHeight="false" outlineLevel="0" collapsed="false">
      <c r="B16" s="4" t="s">
        <v>377</v>
      </c>
      <c r="I16" s="18" t="n">
        <f aca="false">-Suporte!I24</f>
        <v>-14020.705363737</v>
      </c>
      <c r="J16" s="18" t="n">
        <f aca="false">-Suporte!J24</f>
        <v>-815.751548461652</v>
      </c>
      <c r="K16" s="18" t="n">
        <f aca="false">-Suporte!K24</f>
        <v>6057.30767255933</v>
      </c>
      <c r="L16" s="18" t="n">
        <f aca="false">-Suporte!L24</f>
        <v>3714.56462083989</v>
      </c>
      <c r="M16" s="18" t="n">
        <f aca="false">-Suporte!M24</f>
        <v>-3749.46109528622</v>
      </c>
      <c r="N16" s="47" t="n">
        <f aca="false">-(N6-M6)*Premissas!$I$174</f>
        <v>1551.64420270909</v>
      </c>
    </row>
    <row r="17" customFormat="false" ht="15" hidden="false" customHeight="false" outlineLevel="0" collapsed="false">
      <c r="B17" s="7" t="s">
        <v>378</v>
      </c>
      <c r="I17" s="33" t="n">
        <f aca="false">I13+I14+I15+I16</f>
        <v>138229.937690123</v>
      </c>
      <c r="J17" s="33" t="n">
        <f aca="false">J13+J14+J15+J16</f>
        <v>166863.031660005</v>
      </c>
      <c r="K17" s="33" t="n">
        <f aca="false">K13+K14+K15+K16</f>
        <v>121078.940394691</v>
      </c>
      <c r="L17" s="33" t="n">
        <f aca="false">L13+L14+L15+L16</f>
        <v>86611.743840413</v>
      </c>
      <c r="M17" s="33" t="n">
        <f aca="false">M13+M14+M15+M16</f>
        <v>106924.984424217</v>
      </c>
      <c r="N17" s="33" t="n">
        <f aca="false">N13+N14+N15+N16</f>
        <v>77821.5771144592</v>
      </c>
    </row>
    <row r="18" customFormat="false" ht="15" hidden="false" customHeight="false" outlineLevel="0" collapsed="false">
      <c r="B18" s="2" t="s">
        <v>379</v>
      </c>
      <c r="I18" s="16" t="n">
        <f aca="false">I17/I6</f>
        <v>0.506621363110355</v>
      </c>
      <c r="J18" s="16" t="n">
        <f aca="false">J17/J6</f>
        <v>0.555241606339654</v>
      </c>
      <c r="K18" s="16" t="n">
        <f aca="false">K17/K6</f>
        <v>0.567339898453506</v>
      </c>
      <c r="L18" s="16" t="n">
        <f aca="false">L17/L6</f>
        <v>0.519549650344764</v>
      </c>
      <c r="M18" s="16" t="n">
        <f aca="false">M17/M6</f>
        <v>0.516830715302826</v>
      </c>
      <c r="N18" s="16" t="n">
        <f aca="false">N17/N6</f>
        <v>0.395954736842105</v>
      </c>
    </row>
    <row r="19" customFormat="false" ht="15" hidden="false" customHeight="false" outlineLevel="0" collapsed="false">
      <c r="B19" s="4" t="s">
        <v>380</v>
      </c>
      <c r="I19" s="49" t="n">
        <f aca="false">I5-$I$58/2</f>
        <v>0.5</v>
      </c>
      <c r="J19" s="49" t="n">
        <f aca="false">J5-$I$58/2</f>
        <v>1.5</v>
      </c>
      <c r="K19" s="49" t="n">
        <f aca="false">K5-$I$58/2</f>
        <v>2.5</v>
      </c>
      <c r="L19" s="49" t="n">
        <f aca="false">L5-$I$58/2</f>
        <v>3.5</v>
      </c>
      <c r="M19" s="49" t="n">
        <f aca="false">M5-$I$58/2</f>
        <v>4.5</v>
      </c>
    </row>
    <row r="20" customFormat="false" ht="15" hidden="false" customHeight="false" outlineLevel="0" collapsed="false">
      <c r="B20" s="4" t="s">
        <v>381</v>
      </c>
      <c r="I20" s="63" t="n">
        <f aca="false">1/(1+$I$56)^I19</f>
        <v>0.941244289519709</v>
      </c>
      <c r="J20" s="63" t="n">
        <f aca="false">1/(1+$I$56)^J19</f>
        <v>0.833886730668398</v>
      </c>
      <c r="K20" s="63" t="n">
        <f aca="false">1/(1+$I$56)^K19</f>
        <v>0.73877428774591</v>
      </c>
      <c r="L20" s="63" t="n">
        <f aca="false">1/(1+$I$56)^L19</f>
        <v>0.654510292779217</v>
      </c>
      <c r="M20" s="63" t="n">
        <f aca="false">1/(1+$I$56)^M19</f>
        <v>0.579857380609424</v>
      </c>
    </row>
    <row r="21" customFormat="false" ht="15" hidden="false" customHeight="false" outlineLevel="0" collapsed="false">
      <c r="B21" s="4" t="s">
        <v>382</v>
      </c>
      <c r="I21" s="47" t="n">
        <f aca="false">I17*I20</f>
        <v>130108.139491494</v>
      </c>
      <c r="J21" s="47" t="n">
        <f aca="false">J17*J20</f>
        <v>139144.867940379</v>
      </c>
      <c r="K21" s="47" t="n">
        <f aca="false">K17*K20</f>
        <v>89450.0079511174</v>
      </c>
      <c r="L21" s="47" t="n">
        <f aca="false">L17*L20</f>
        <v>56688.2778191073</v>
      </c>
      <c r="M21" s="47" t="n">
        <f aca="false">M17*M20</f>
        <v>62001.2413899297</v>
      </c>
    </row>
    <row r="23" customFormat="false" ht="15" hidden="false" customHeight="false" outlineLevel="0" collapsed="false">
      <c r="B23" s="3" t="s">
        <v>383</v>
      </c>
    </row>
    <row r="24" customFormat="false" ht="15" hidden="false" customHeight="false" outlineLevel="0" collapsed="false">
      <c r="B24" s="4" t="s">
        <v>384</v>
      </c>
      <c r="I24" s="47" t="n">
        <f aca="false">SUM(I21:M21)</f>
        <v>477392.534592026</v>
      </c>
    </row>
    <row r="25" customFormat="false" ht="15" hidden="false" customHeight="false" outlineLevel="0" collapsed="false">
      <c r="B25" s="4" t="s">
        <v>385</v>
      </c>
      <c r="I25" s="47" t="n">
        <f aca="false">N17*(1+I57)/(I56-I57)</f>
        <v>811761.417670902</v>
      </c>
    </row>
    <row r="26" customFormat="false" ht="15" hidden="false" customHeight="false" outlineLevel="0" collapsed="false">
      <c r="B26" s="4" t="s">
        <v>386</v>
      </c>
      <c r="I26" s="47" t="n">
        <f aca="false">I25*M20</f>
        <v>470705.849330442</v>
      </c>
    </row>
    <row r="27" customFormat="false" ht="15" hidden="false" customHeight="false" outlineLevel="0" collapsed="false">
      <c r="B27" s="7" t="s">
        <v>387</v>
      </c>
      <c r="I27" s="33" t="n">
        <f aca="false">I24+I26</f>
        <v>948098.383922468</v>
      </c>
    </row>
    <row r="28" customFormat="false" ht="15" hidden="false" customHeight="false" outlineLevel="0" collapsed="false">
      <c r="B28" s="2" t="s">
        <v>388</v>
      </c>
      <c r="I28" s="16" t="n">
        <f aca="false">I26/I27</f>
        <v>0.496473633235234</v>
      </c>
    </row>
    <row r="29" customFormat="false" ht="15" hidden="false" customHeight="false" outlineLevel="0" collapsed="false">
      <c r="B29" s="4" t="s">
        <v>389</v>
      </c>
      <c r="I29" s="18" t="n">
        <f aca="false">BP!$H$5</f>
        <v>73453</v>
      </c>
    </row>
    <row r="30" customFormat="false" ht="15" hidden="false" customHeight="false" outlineLevel="0" collapsed="false">
      <c r="B30" s="4" t="s">
        <v>390</v>
      </c>
      <c r="I30" s="47" t="n">
        <f aca="false">-(BP!$H$19+BP!$H$22)</f>
        <v>-5179</v>
      </c>
    </row>
    <row r="31" customFormat="false" ht="15" hidden="false" customHeight="false" outlineLevel="0" collapsed="false">
      <c r="B31" s="7" t="s">
        <v>391</v>
      </c>
      <c r="I31" s="33" t="n">
        <f aca="false">I27+I29+I30</f>
        <v>1016372.38392247</v>
      </c>
    </row>
    <row r="32" customFormat="false" ht="15" hidden="false" customHeight="false" outlineLevel="0" collapsed="false">
      <c r="B32" s="4" t="s">
        <v>392</v>
      </c>
      <c r="C32" s="2" t="s">
        <v>332</v>
      </c>
      <c r="I32" s="18" t="n">
        <f aca="false">Suporte!$H$44</f>
        <v>1150</v>
      </c>
    </row>
    <row r="33" customFormat="false" ht="15" hidden="false" customHeight="false" outlineLevel="0" collapsed="false">
      <c r="B33" s="7" t="s">
        <v>393</v>
      </c>
      <c r="I33" s="37" t="n">
        <f aca="false">I31/I32</f>
        <v>883.802072976059</v>
      </c>
    </row>
    <row r="34" customFormat="false" ht="15" hidden="false" customHeight="false" outlineLevel="0" collapsed="false">
      <c r="B34" s="2" t="s">
        <v>394</v>
      </c>
      <c r="I34" s="59" t="n">
        <f aca="false">I51</f>
        <v>0.12914</v>
      </c>
    </row>
    <row r="35" customFormat="false" ht="15" hidden="false" customHeight="false" outlineLevel="0" collapsed="false">
      <c r="B35" s="2" t="s">
        <v>395</v>
      </c>
      <c r="I35" s="54" t="n">
        <f aca="false">DRE!$I$42</f>
        <v>0.6996</v>
      </c>
    </row>
    <row r="36" customFormat="false" ht="15" hidden="false" customHeight="false" outlineLevel="0" collapsed="false">
      <c r="B36" s="7" t="s">
        <v>5</v>
      </c>
      <c r="I36" s="37" t="n">
        <f aca="false">I33*(1+I34)-I35</f>
        <v>997.236672680188</v>
      </c>
    </row>
    <row r="37" customFormat="false" ht="15" hidden="false" customHeight="false" outlineLevel="0" collapsed="false">
      <c r="B37" s="4" t="s">
        <v>396</v>
      </c>
      <c r="I37" s="60" t="n">
        <f aca="false">Premissas!$I$203</f>
        <v>1045.56</v>
      </c>
    </row>
    <row r="38" customFormat="false" ht="15" hidden="false" customHeight="false" outlineLevel="0" collapsed="false">
      <c r="B38" s="7" t="s">
        <v>6</v>
      </c>
      <c r="I38" s="29" t="n">
        <f aca="false">I36/I37-1</f>
        <v>-0.0462176511341407</v>
      </c>
    </row>
    <row r="40" customFormat="false" ht="15" hidden="false" customHeight="false" outlineLevel="0" collapsed="false">
      <c r="B40" s="3" t="s">
        <v>397</v>
      </c>
    </row>
    <row r="41" customFormat="false" ht="15" hidden="false" customHeight="false" outlineLevel="0" collapsed="false">
      <c r="B41" s="4" t="s">
        <v>398</v>
      </c>
      <c r="I41" s="47" t="n">
        <f aca="false">I36*I32-I29-I30</f>
        <v>1078548.17358222</v>
      </c>
    </row>
    <row r="42" customFormat="false" ht="15" hidden="false" customHeight="false" outlineLevel="0" collapsed="false">
      <c r="B42" s="4" t="s">
        <v>399</v>
      </c>
      <c r="I42" s="20" t="n">
        <f aca="false">I41/DRE!$I$16</f>
        <v>4.50466880961547</v>
      </c>
    </row>
    <row r="43" customFormat="false" ht="15" hidden="false" customHeight="false" outlineLevel="0" collapsed="false">
      <c r="B43" s="4" t="s">
        <v>400</v>
      </c>
      <c r="I43" s="20" t="n">
        <f aca="false">I41/DRE!$J$16</f>
        <v>4.07240595548718</v>
      </c>
    </row>
    <row r="44" customFormat="false" ht="15" hidden="false" customHeight="false" outlineLevel="0" collapsed="false">
      <c r="B44" s="4" t="s">
        <v>401</v>
      </c>
      <c r="I44" s="20" t="n">
        <f aca="false">I36/DRE!$I$39</f>
        <v>5.67401341061032</v>
      </c>
    </row>
    <row r="45" customFormat="false" ht="15" hidden="false" customHeight="false" outlineLevel="0" collapsed="false">
      <c r="B45" s="4" t="s">
        <v>402</v>
      </c>
      <c r="I45" s="20" t="n">
        <f aca="false">I36/DRE!$J$39</f>
        <v>4.70299365573375</v>
      </c>
    </row>
    <row r="47" customFormat="false" ht="15" hidden="false" customHeight="false" outlineLevel="0" collapsed="false">
      <c r="B47" s="3" t="s">
        <v>403</v>
      </c>
    </row>
    <row r="48" customFormat="false" ht="15" hidden="false" customHeight="false" outlineLevel="0" collapsed="false">
      <c r="B48" s="4" t="s">
        <v>404</v>
      </c>
      <c r="I48" s="64" t="n">
        <f aca="false">Premissas!$I$177</f>
        <v>0.0527</v>
      </c>
    </row>
    <row r="49" customFormat="false" ht="15" hidden="false" customHeight="false" outlineLevel="0" collapsed="false">
      <c r="B49" s="4" t="s">
        <v>405</v>
      </c>
      <c r="I49" s="65" t="n">
        <f aca="false">Premissas!$I$182</f>
        <v>1.82</v>
      </c>
    </row>
    <row r="50" customFormat="false" ht="15" hidden="false" customHeight="false" outlineLevel="0" collapsed="false">
      <c r="B50" s="4" t="s">
        <v>406</v>
      </c>
      <c r="I50" s="64" t="n">
        <f aca="false">Premissas!$I$183</f>
        <v>0.042</v>
      </c>
    </row>
    <row r="51" customFormat="false" ht="15" hidden="false" customHeight="false" outlineLevel="0" collapsed="false">
      <c r="B51" s="4" t="s">
        <v>407</v>
      </c>
      <c r="I51" s="64" t="n">
        <f aca="false">Premissas!$I$184</f>
        <v>0.12914</v>
      </c>
    </row>
    <row r="52" customFormat="false" ht="15" hidden="false" customHeight="false" outlineLevel="0" collapsed="false">
      <c r="B52" s="4" t="s">
        <v>408</v>
      </c>
      <c r="I52" s="64" t="n">
        <f aca="false">Premissas!$I$185</f>
        <v>0.059</v>
      </c>
    </row>
    <row r="53" customFormat="false" ht="15" hidden="false" customHeight="false" outlineLevel="0" collapsed="false">
      <c r="B53" s="4" t="s">
        <v>106</v>
      </c>
      <c r="I53" s="17" t="n">
        <f aca="false">Premissas!$I$186</f>
        <v>0.155</v>
      </c>
    </row>
    <row r="54" customFormat="false" ht="15" hidden="false" customHeight="false" outlineLevel="0" collapsed="false">
      <c r="B54" s="4" t="s">
        <v>409</v>
      </c>
      <c r="I54" s="17" t="n">
        <f aca="false">Premissas!$I$189</f>
        <v>0.995</v>
      </c>
    </row>
    <row r="55" customFormat="false" ht="15" hidden="false" customHeight="false" outlineLevel="0" collapsed="false">
      <c r="B55" s="4" t="s">
        <v>410</v>
      </c>
      <c r="I55" s="17" t="n">
        <f aca="false">Premissas!$I$188</f>
        <v>0.005</v>
      </c>
    </row>
    <row r="56" customFormat="false" ht="15" hidden="false" customHeight="false" outlineLevel="0" collapsed="false">
      <c r="B56" s="7" t="s">
        <v>118</v>
      </c>
      <c r="I56" s="66" t="n">
        <f aca="false">Premissas!$I$190</f>
        <v>0.128743575</v>
      </c>
    </row>
    <row r="57" customFormat="false" ht="15" hidden="false" customHeight="false" outlineLevel="0" collapsed="false">
      <c r="B57" s="7" t="s">
        <v>411</v>
      </c>
      <c r="I57" s="67" t="n">
        <f aca="false">Premissas!$I$195</f>
        <v>0.03</v>
      </c>
    </row>
    <row r="58" customFormat="false" ht="15" hidden="false" customHeight="false" outlineLevel="0" collapsed="false">
      <c r="B58" s="4" t="s">
        <v>412</v>
      </c>
      <c r="I58" s="68" t="n">
        <f aca="false">Premissas!$I$196</f>
        <v>1</v>
      </c>
    </row>
    <row r="60" customFormat="false" ht="15" hidden="false" customHeight="false" outlineLevel="0" collapsed="false">
      <c r="B60" s="3" t="s">
        <v>413</v>
      </c>
    </row>
    <row r="61" customFormat="false" ht="15" hidden="false" customHeight="false" outlineLevel="0" collapsed="false">
      <c r="B61" s="2" t="s">
        <v>414</v>
      </c>
      <c r="C61" s="30" t="n">
        <v>0.005</v>
      </c>
      <c r="D61" s="2" t="s">
        <v>415</v>
      </c>
      <c r="E61" s="30" t="n">
        <v>0.005</v>
      </c>
      <c r="F61" s="2" t="s">
        <v>416</v>
      </c>
      <c r="G61" s="28" t="n">
        <v>0.02</v>
      </c>
    </row>
    <row r="63" customFormat="false" ht="15" hidden="false" customHeight="false" outlineLevel="0" collapsed="false">
      <c r="C63" s="69" t="s">
        <v>417</v>
      </c>
      <c r="D63" s="70" t="n">
        <f aca="false">$I$57+(-2)*$E$61</f>
        <v>0.02</v>
      </c>
      <c r="E63" s="70" t="n">
        <f aca="false">$I$57+(-1)*$E$61</f>
        <v>0.025</v>
      </c>
      <c r="F63" s="70" t="n">
        <f aca="false">$I$57+(0)*$E$61</f>
        <v>0.03</v>
      </c>
      <c r="G63" s="70" t="n">
        <f aca="false">$I$57+(1)*$E$61</f>
        <v>0.035</v>
      </c>
      <c r="H63" s="70" t="n">
        <f aca="false">$I$57+(2)*$E$61</f>
        <v>0.04</v>
      </c>
    </row>
    <row r="64" customFormat="false" ht="15" hidden="false" customHeight="false" outlineLevel="0" collapsed="false">
      <c r="C64" s="71" t="n">
        <f aca="false">$I$56+(-2)*$C$61</f>
        <v>0.118743575</v>
      </c>
      <c r="D64" s="72" t="n">
        <f aca="false">((SUMPRODUCT($I$17:$M$17,1/(1+$C64)^$I$19:$M$19)+$N$17*(1+D$63)/($C64-D$63)/(1+$C64)^$M$19+$I$29+$I$30)/$I$32)*(1+$I$51)-$I$35</f>
        <v>1020.07885487349</v>
      </c>
      <c r="E64" s="72" t="n">
        <f aca="false">((SUMPRODUCT($I$17:$M$17,1/(1+$C64)^$I$19:$M$19)+$N$17*(1+E$63)/($C64-E$63)/(1+$C64)^$M$19+$I$29+$I$30)/$I$32)*(1+$I$51)-$I$35</f>
        <v>1047.94729665115</v>
      </c>
      <c r="F64" s="72" t="n">
        <f aca="false">((SUMPRODUCT($I$17:$M$17,1/(1+$C64)^$I$19:$M$19)+$N$17*(1+F$63)/($C64-F$63)/(1+$C64)^$M$19+$I$29+$I$30)/$I$32)*(1+$I$51)-$I$35</f>
        <v>1078.95607188706</v>
      </c>
      <c r="G64" s="72" t="n">
        <f aca="false">((SUMPRODUCT($I$17:$M$17,1/(1+$C64)^$I$19:$M$19)+$N$17*(1+G$63)/($C64-G$63)/(1+$C64)^$M$19+$I$29+$I$30)/$I$32)*(1+$I$51)-$I$35</f>
        <v>1113.66767151707</v>
      </c>
      <c r="H64" s="72" t="n">
        <f aca="false">((SUMPRODUCT($I$17:$M$17,1/(1+$C64)^$I$19:$M$19)+$N$17*(1+H$63)/($C64-H$63)/(1+$C64)^$M$19+$I$29+$I$30)/$I$32)*(1+$I$51)-$I$35</f>
        <v>1152.78745297397</v>
      </c>
    </row>
    <row r="65" customFormat="false" ht="15" hidden="false" customHeight="false" outlineLevel="0" collapsed="false">
      <c r="C65" s="71" t="n">
        <f aca="false">$I$56+(-1)*$C$61</f>
        <v>0.123743575</v>
      </c>
      <c r="D65" s="72" t="n">
        <f aca="false">((SUMPRODUCT($I$17:$M$17,1/(1+$C65)^$I$19:$M$19)+$N$17*(1+D$63)/($C65-D$63)/(1+$C65)^$M$19+$I$29+$I$30)/$I$32)*(1+$I$51)-$I$35</f>
        <v>983.758681193592</v>
      </c>
      <c r="E65" s="72" t="n">
        <f aca="false">((SUMPRODUCT($I$17:$M$17,1/(1+$C65)^$I$19:$M$19)+$N$17*(1+E$63)/($C65-E$63)/(1+$C65)^$M$19+$I$29+$I$30)/$I$32)*(1+$I$51)-$I$35</f>
        <v>1008.55085753043</v>
      </c>
      <c r="F65" s="72" t="n">
        <f aca="false">((SUMPRODUCT($I$17:$M$17,1/(1+$C65)^$I$19:$M$19)+$N$17*(1+F$63)/($C65-F$63)/(1+$C65)^$M$19+$I$29+$I$30)/$I$32)*(1+$I$51)-$I$35</f>
        <v>1035.98771392528</v>
      </c>
      <c r="G65" s="72" t="n">
        <f aca="false">((SUMPRODUCT($I$17:$M$17,1/(1+$C65)^$I$19:$M$19)+$N$17*(1+G$63)/($C65-G$63)/(1+$C65)^$M$19+$I$29+$I$30)/$I$32)*(1+$I$51)-$I$35</f>
        <v>1066.51627091871</v>
      </c>
      <c r="H65" s="72" t="n">
        <f aca="false">((SUMPRODUCT($I$17:$M$17,1/(1+$C65)^$I$19:$M$19)+$N$17*(1+H$63)/($C65-H$63)/(1+$C65)^$M$19+$I$29+$I$30)/$I$32)*(1+$I$51)-$I$35</f>
        <v>1100.69030841539</v>
      </c>
    </row>
    <row r="66" customFormat="false" ht="15" hidden="false" customHeight="false" outlineLevel="0" collapsed="false">
      <c r="C66" s="71" t="n">
        <f aca="false">$I$56+(0)*$C$61</f>
        <v>0.128743575</v>
      </c>
      <c r="D66" s="72" t="n">
        <f aca="false">((SUMPRODUCT($I$17:$M$17,1/(1+$C66)^$I$19:$M$19)+$N$17*(1+D$63)/($C66-D$63)/(1+$C66)^$M$19+$I$29+$I$30)/$I$32)*(1+$I$51)-$I$35</f>
        <v>950.66155000381</v>
      </c>
      <c r="E66" s="72" t="n">
        <f aca="false">((SUMPRODUCT($I$17:$M$17,1/(1+$C66)^$I$19:$M$19)+$N$17*(1+E$63)/($C66-E$63)/(1+$C66)^$M$19+$I$29+$I$30)/$I$32)*(1+$I$51)-$I$35</f>
        <v>972.826749724029</v>
      </c>
      <c r="F66" s="73" t="n">
        <f aca="false">((SUMPRODUCT($I$17:$M$17,1/(1+$C66)^$I$19:$M$19)+$N$17*(1+F$63)/($C66-F$63)/(1+$C66)^$M$19+$I$29+$I$30)/$I$32)*(1+$I$51)-$I$35</f>
        <v>997.236672680188</v>
      </c>
      <c r="G66" s="72" t="n">
        <f aca="false">((SUMPRODUCT($I$17:$M$17,1/(1+$C66)^$I$19:$M$19)+$N$17*(1+G$63)/($C66-G$63)/(1+$C66)^$M$19+$I$29+$I$30)/$I$32)*(1+$I$51)-$I$35</f>
        <v>1024.25049920586</v>
      </c>
      <c r="H66" s="72" t="n">
        <f aca="false">((SUMPRODUCT($I$17:$M$17,1/(1+$C66)^$I$19:$M$19)+$N$17*(1+H$63)/($C66-H$63)/(1+$C66)^$M$19+$I$29+$I$30)/$I$32)*(1+$I$51)-$I$35</f>
        <v>1054.3083575418</v>
      </c>
    </row>
    <row r="67" customFormat="false" ht="15" hidden="false" customHeight="false" outlineLevel="0" collapsed="false">
      <c r="C67" s="71" t="n">
        <f aca="false">$I$56+(1)*$C$61</f>
        <v>0.133743575</v>
      </c>
      <c r="D67" s="72" t="n">
        <f aca="false">((SUMPRODUCT($I$17:$M$17,1/(1+$C67)^$I$19:$M$19)+$N$17*(1+D$63)/($C67-D$63)/(1+$C67)^$M$19+$I$29+$I$30)/$I$32)*(1+$I$51)-$I$35</f>
        <v>920.364961223846</v>
      </c>
      <c r="E67" s="72" t="n">
        <f aca="false">((SUMPRODUCT($I$17:$M$17,1/(1+$C67)^$I$19:$M$19)+$N$17*(1+E$63)/($C67-E$63)/(1+$C67)^$M$19+$I$29+$I$30)/$I$32)*(1+$I$51)-$I$35</f>
        <v>940.271124760325</v>
      </c>
      <c r="F67" s="72" t="n">
        <f aca="false">((SUMPRODUCT($I$17:$M$17,1/(1+$C67)^$I$19:$M$19)+$N$17*(1+F$63)/($C67-F$63)/(1+$C67)^$M$19+$I$29+$I$30)/$I$32)*(1+$I$51)-$I$35</f>
        <v>962.096073487741</v>
      </c>
      <c r="G67" s="72" t="n">
        <f aca="false">((SUMPRODUCT($I$17:$M$17,1/(1+$C67)^$I$19:$M$19)+$N$17*(1+G$63)/($C67-G$63)/(1+$C67)^$M$19+$I$29+$I$30)/$I$32)*(1+$I$51)-$I$35</f>
        <v>986.131287412402</v>
      </c>
      <c r="H67" s="72" t="n">
        <f aca="false">((SUMPRODUCT($I$17:$M$17,1/(1+$C67)^$I$19:$M$19)+$N$17*(1+H$63)/($C67-H$63)/(1+$C67)^$M$19+$I$29+$I$30)/$I$32)*(1+$I$51)-$I$35</f>
        <v>1012.73043320383</v>
      </c>
    </row>
    <row r="68" customFormat="false" ht="15" hidden="false" customHeight="false" outlineLevel="0" collapsed="false">
      <c r="C68" s="71" t="n">
        <f aca="false">$I$56+(2)*$C$61</f>
        <v>0.138743575</v>
      </c>
      <c r="D68" s="72" t="n">
        <f aca="false">((SUMPRODUCT($I$17:$M$17,1/(1+$C68)^$I$19:$M$19)+$N$17*(1+D$63)/($C68-D$63)/(1+$C68)^$M$19+$I$29+$I$30)/$I$32)*(1+$I$51)-$I$35</f>
        <v>892.517505771042</v>
      </c>
      <c r="E68" s="72" t="n">
        <f aca="false">((SUMPRODUCT($I$17:$M$17,1/(1+$C68)^$I$19:$M$19)+$N$17*(1+E$63)/($C68-E$63)/(1+$C68)^$M$19+$I$29+$I$30)/$I$32)*(1+$I$51)-$I$35</f>
        <v>910.468652700879</v>
      </c>
      <c r="F68" s="72" t="n">
        <f aca="false">((SUMPRODUCT($I$17:$M$17,1/(1+$C68)^$I$19:$M$19)+$N$17*(1+F$63)/($C68-F$63)/(1+$C68)^$M$19+$I$29+$I$30)/$I$32)*(1+$I$51)-$I$35</f>
        <v>930.070577336879</v>
      </c>
      <c r="G68" s="72" t="n">
        <f aca="false">((SUMPRODUCT($I$17:$M$17,1/(1+$C68)^$I$19:$M$19)+$N$17*(1+G$63)/($C68-G$63)/(1+$C68)^$M$19+$I$29+$I$30)/$I$32)*(1+$I$51)-$I$35</f>
        <v>951.561961116348</v>
      </c>
      <c r="H68" s="72" t="n">
        <f aca="false">((SUMPRODUCT($I$17:$M$17,1/(1+$C68)^$I$19:$M$19)+$N$17*(1+H$63)/($C68-H$63)/(1+$C68)^$M$19+$I$29+$I$30)/$I$32)*(1+$I$51)-$I$35</f>
        <v>975.229829166258</v>
      </c>
    </row>
    <row r="70" customFormat="false" ht="15" hidden="false" customHeight="false" outlineLevel="0" collapsed="false">
      <c r="B70" s="2" t="s">
        <v>418</v>
      </c>
      <c r="C70" s="74" t="n">
        <f aca="false">F66-I36</f>
        <v>0</v>
      </c>
      <c r="D70" s="7" t="str">
        <f aca="false">IF(ABS(C70)&lt;0.01,"ok","ERRO")</f>
        <v>ok</v>
      </c>
    </row>
    <row r="72" customFormat="false" ht="15" hidden="false" customHeight="false" outlineLevel="0" collapsed="false">
      <c r="B72" s="3" t="s">
        <v>419</v>
      </c>
    </row>
    <row r="73" customFormat="false" ht="15" hidden="false" customHeight="false" outlineLevel="0" collapsed="false">
      <c r="C73" s="69" t="s">
        <v>420</v>
      </c>
      <c r="D73" s="70" t="n">
        <f aca="false">$N$7+(-2)*$G$61</f>
        <v>0.58</v>
      </c>
      <c r="E73" s="70" t="n">
        <f aca="false">$N$7+(-1)*$G$61</f>
        <v>0.6</v>
      </c>
      <c r="F73" s="70" t="n">
        <f aca="false">$N$7+(0)*$G$61</f>
        <v>0.62</v>
      </c>
      <c r="G73" s="70" t="n">
        <f aca="false">$N$7+(1)*$G$61</f>
        <v>0.64</v>
      </c>
      <c r="H73" s="70" t="n">
        <f aca="false">$N$7+(2)*$G$61</f>
        <v>0.66</v>
      </c>
    </row>
    <row r="74" customFormat="false" ht="15" hidden="false" customHeight="false" outlineLevel="0" collapsed="false">
      <c r="C74" s="71" t="n">
        <f aca="false">$I$56+(-2)*$C$61</f>
        <v>0.118743575</v>
      </c>
      <c r="D74" s="72" t="n">
        <f aca="false">((SUMPRODUCT($I$17:$M$17,1/(1+$C74)^$I$19:$M$19)+(($N$6*D$73+$N$9)*(1-$N$12)+$N$14+$N$15+$N$16)*(1+$I$57)/($C74-$I$57)/(1+$C74)^$M$19+$I$29+$I$30)/$I$32)*(1+$I$51)-$I$35</f>
        <v>1033.26472624867</v>
      </c>
      <c r="E74" s="72" t="n">
        <f aca="false">((SUMPRODUCT($I$17:$M$17,1/(1+$C74)^$I$19:$M$19)+(($N$6*E$73+$N$9)*(1-$N$12)+$N$14+$N$15+$N$16)*(1+$I$57)/($C74-$I$57)/(1+$C74)^$M$19+$I$29+$I$30)/$I$32)*(1+$I$51)-$I$35</f>
        <v>1056.11039906787</v>
      </c>
      <c r="F74" s="72" t="n">
        <f aca="false">((SUMPRODUCT($I$17:$M$17,1/(1+$C74)^$I$19:$M$19)+(($N$6*F$73+$N$9)*(1-$N$12)+$N$14+$N$15+$N$16)*(1+$I$57)/($C74-$I$57)/(1+$C74)^$M$19+$I$29+$I$30)/$I$32)*(1+$I$51)-$I$35</f>
        <v>1078.95607188706</v>
      </c>
      <c r="G74" s="72" t="n">
        <f aca="false">((SUMPRODUCT($I$17:$M$17,1/(1+$C74)^$I$19:$M$19)+(($N$6*G$73+$N$9)*(1-$N$12)+$N$14+$N$15+$N$16)*(1+$I$57)/($C74-$I$57)/(1+$C74)^$M$19+$I$29+$I$30)/$I$32)*(1+$I$51)-$I$35</f>
        <v>1101.80174470626</v>
      </c>
      <c r="H74" s="72" t="n">
        <f aca="false">((SUMPRODUCT($I$17:$M$17,1/(1+$C74)^$I$19:$M$19)+(($N$6*H$73+$N$9)*(1-$N$12)+$N$14+$N$15+$N$16)*(1+$I$57)/($C74-$I$57)/(1+$C74)^$M$19+$I$29+$I$30)/$I$32)*(1+$I$51)-$I$35</f>
        <v>1124.64741752545</v>
      </c>
    </row>
    <row r="75" customFormat="false" ht="15" hidden="false" customHeight="false" outlineLevel="0" collapsed="false">
      <c r="C75" s="71" t="n">
        <f aca="false">$I$56+(-1)*$C$61</f>
        <v>0.123743575</v>
      </c>
      <c r="D75" s="72" t="n">
        <f aca="false">((SUMPRODUCT($I$17:$M$17,1/(1+$C75)^$I$19:$M$19)+(($N$6*D$73+$N$9)*(1-$N$12)+$N$14+$N$15+$N$16)*(1+$I$57)/($C75-$I$57)/(1+$C75)^$M$19+$I$29+$I$30)/$I$32)*(1+$I$51)-$I$35</f>
        <v>993.592741897607</v>
      </c>
      <c r="E75" s="72" t="n">
        <f aca="false">((SUMPRODUCT($I$17:$M$17,1/(1+$C75)^$I$19:$M$19)+(($N$6*E$73+$N$9)*(1-$N$12)+$N$14+$N$15+$N$16)*(1+$I$57)/($C75-$I$57)/(1+$C75)^$M$19+$I$29+$I$30)/$I$32)*(1+$I$51)-$I$35</f>
        <v>1014.79022791144</v>
      </c>
      <c r="F75" s="72" t="n">
        <f aca="false">((SUMPRODUCT($I$17:$M$17,1/(1+$C75)^$I$19:$M$19)+(($N$6*F$73+$N$9)*(1-$N$12)+$N$14+$N$15+$N$16)*(1+$I$57)/($C75-$I$57)/(1+$C75)^$M$19+$I$29+$I$30)/$I$32)*(1+$I$51)-$I$35</f>
        <v>1035.98771392528</v>
      </c>
      <c r="G75" s="72" t="n">
        <f aca="false">((SUMPRODUCT($I$17:$M$17,1/(1+$C75)^$I$19:$M$19)+(($N$6*G$73+$N$9)*(1-$N$12)+$N$14+$N$15+$N$16)*(1+$I$57)/($C75-$I$57)/(1+$C75)^$M$19+$I$29+$I$30)/$I$32)*(1+$I$51)-$I$35</f>
        <v>1057.18519993911</v>
      </c>
      <c r="H75" s="72" t="n">
        <f aca="false">((SUMPRODUCT($I$17:$M$17,1/(1+$C75)^$I$19:$M$19)+(($N$6*H$73+$N$9)*(1-$N$12)+$N$14+$N$15+$N$16)*(1+$I$57)/($C75-$I$57)/(1+$C75)^$M$19+$I$29+$I$30)/$I$32)*(1+$I$51)-$I$35</f>
        <v>1078.38268595295</v>
      </c>
    </row>
    <row r="76" customFormat="false" ht="15" hidden="false" customHeight="false" outlineLevel="0" collapsed="false">
      <c r="C76" s="71" t="n">
        <f aca="false">$I$56+(0)*$C$61</f>
        <v>0.128743575</v>
      </c>
      <c r="D76" s="72" t="n">
        <f aca="false">((SUMPRODUCT($I$17:$M$17,1/(1+$C76)^$I$19:$M$19)+(($N$6*D$73+$N$9)*(1-$N$12)+$N$14+$N$15+$N$16)*(1+$I$57)/($C76-$I$57)/(1+$C76)^$M$19+$I$29+$I$30)/$I$32)*(1+$I$51)-$I$35</f>
        <v>957.784520023038</v>
      </c>
      <c r="E76" s="72" t="n">
        <f aca="false">((SUMPRODUCT($I$17:$M$17,1/(1+$C76)^$I$19:$M$19)+(($N$6*E$73+$N$9)*(1-$N$12)+$N$14+$N$15+$N$16)*(1+$I$57)/($C76-$I$57)/(1+$C76)^$M$19+$I$29+$I$30)/$I$32)*(1+$I$51)-$I$35</f>
        <v>977.510596351613</v>
      </c>
      <c r="F76" s="73" t="n">
        <f aca="false">((SUMPRODUCT($I$17:$M$17,1/(1+$C76)^$I$19:$M$19)+(($N$6*F$73+$N$9)*(1-$N$12)+$N$14+$N$15+$N$16)*(1+$I$57)/($C76-$I$57)/(1+$C76)^$M$19+$I$29+$I$30)/$I$32)*(1+$I$51)-$I$35</f>
        <v>997.236672680188</v>
      </c>
      <c r="G76" s="72" t="n">
        <f aca="false">((SUMPRODUCT($I$17:$M$17,1/(1+$C76)^$I$19:$M$19)+(($N$6*G$73+$N$9)*(1-$N$12)+$N$14+$N$15+$N$16)*(1+$I$57)/($C76-$I$57)/(1+$C76)^$M$19+$I$29+$I$30)/$I$32)*(1+$I$51)-$I$35</f>
        <v>1016.96274900876</v>
      </c>
      <c r="H76" s="72" t="n">
        <f aca="false">((SUMPRODUCT($I$17:$M$17,1/(1+$C76)^$I$19:$M$19)+(($N$6*H$73+$N$9)*(1-$N$12)+$N$14+$N$15+$N$16)*(1+$I$57)/($C76-$I$57)/(1+$C76)^$M$19+$I$29+$I$30)/$I$32)*(1+$I$51)-$I$35</f>
        <v>1036.68882533734</v>
      </c>
    </row>
    <row r="77" customFormat="false" ht="15" hidden="false" customHeight="false" outlineLevel="0" collapsed="false">
      <c r="C77" s="71" t="n">
        <f aca="false">$I$56+(1)*$C$61</f>
        <v>0.133743575</v>
      </c>
      <c r="D77" s="72" t="n">
        <f aca="false">((SUMPRODUCT($I$17:$M$17,1/(1+$C77)^$I$19:$M$19)+(($N$6*D$73+$N$9)*(1-$N$12)+$N$14+$N$15+$N$16)*(1+$I$57)/($C77-$I$57)/(1+$C77)^$M$19+$I$29+$I$30)/$I$32)*(1+$I$51)-$I$35</f>
        <v>925.284839378013</v>
      </c>
      <c r="E77" s="72" t="n">
        <f aca="false">((SUMPRODUCT($I$17:$M$17,1/(1+$C77)^$I$19:$M$19)+(($N$6*E$73+$N$9)*(1-$N$12)+$N$14+$N$15+$N$16)*(1+$I$57)/($C77-$I$57)/(1+$C77)^$M$19+$I$29+$I$30)/$I$32)*(1+$I$51)-$I$35</f>
        <v>943.690456432877</v>
      </c>
      <c r="F77" s="72" t="n">
        <f aca="false">((SUMPRODUCT($I$17:$M$17,1/(1+$C77)^$I$19:$M$19)+(($N$6*F$73+$N$9)*(1-$N$12)+$N$14+$N$15+$N$16)*(1+$I$57)/($C77-$I$57)/(1+$C77)^$M$19+$I$29+$I$30)/$I$32)*(1+$I$51)-$I$35</f>
        <v>962.096073487741</v>
      </c>
      <c r="G77" s="72" t="n">
        <f aca="false">((SUMPRODUCT($I$17:$M$17,1/(1+$C77)^$I$19:$M$19)+(($N$6*G$73+$N$9)*(1-$N$12)+$N$14+$N$15+$N$16)*(1+$I$57)/($C77-$I$57)/(1+$C77)^$M$19+$I$29+$I$30)/$I$32)*(1+$I$51)-$I$35</f>
        <v>980.501690542605</v>
      </c>
      <c r="H77" s="72" t="n">
        <f aca="false">((SUMPRODUCT($I$17:$M$17,1/(1+$C77)^$I$19:$M$19)+(($N$6*H$73+$N$9)*(1-$N$12)+$N$14+$N$15+$N$16)*(1+$I$57)/($C77-$I$57)/(1+$C77)^$M$19+$I$29+$I$30)/$I$32)*(1+$I$51)-$I$35</f>
        <v>998.907307597468</v>
      </c>
    </row>
    <row r="78" customFormat="false" ht="15" hidden="false" customHeight="false" outlineLevel="0" collapsed="false">
      <c r="C78" s="71" t="n">
        <f aca="false">$I$56+(2)*$C$61</f>
        <v>0.138743575</v>
      </c>
      <c r="D78" s="72" t="n">
        <f aca="false">((SUMPRODUCT($I$17:$M$17,1/(1+$C78)^$I$19:$M$19)+(($N$6*D$73+$N$9)*(1-$N$12)+$N$14+$N$15+$N$16)*(1+$I$57)/($C78-$I$57)/(1+$C78)^$M$19+$I$29+$I$30)/$I$32)*(1+$I$51)-$I$35</f>
        <v>895.640497681169</v>
      </c>
      <c r="E78" s="72" t="n">
        <f aca="false">((SUMPRODUCT($I$17:$M$17,1/(1+$C78)^$I$19:$M$19)+(($N$6*E$73+$N$9)*(1-$N$12)+$N$14+$N$15+$N$16)*(1+$I$57)/($C78-$I$57)/(1+$C78)^$M$19+$I$29+$I$30)/$I$32)*(1+$I$51)-$I$35</f>
        <v>912.855537509024</v>
      </c>
      <c r="F78" s="72" t="n">
        <f aca="false">((SUMPRODUCT($I$17:$M$17,1/(1+$C78)^$I$19:$M$19)+(($N$6*F$73+$N$9)*(1-$N$12)+$N$14+$N$15+$N$16)*(1+$I$57)/($C78-$I$57)/(1+$C78)^$M$19+$I$29+$I$30)/$I$32)*(1+$I$51)-$I$35</f>
        <v>930.070577336879</v>
      </c>
      <c r="G78" s="72" t="n">
        <f aca="false">((SUMPRODUCT($I$17:$M$17,1/(1+$C78)^$I$19:$M$19)+(($N$6*G$73+$N$9)*(1-$N$12)+$N$14+$N$15+$N$16)*(1+$I$57)/($C78-$I$57)/(1+$C78)^$M$19+$I$29+$I$30)/$I$32)*(1+$I$51)-$I$35</f>
        <v>947.285617164734</v>
      </c>
      <c r="H78" s="72" t="n">
        <f aca="false">((SUMPRODUCT($I$17:$M$17,1/(1+$C78)^$I$19:$M$19)+(($N$6*H$73+$N$9)*(1-$N$12)+$N$14+$N$15+$N$16)*(1+$I$57)/($C78-$I$57)/(1+$C78)^$M$19+$I$29+$I$30)/$I$32)*(1+$I$51)-$I$35</f>
        <v>964.500656992589</v>
      </c>
    </row>
    <row r="80" customFormat="false" ht="15" hidden="false" customHeight="false" outlineLevel="0" collapsed="false">
      <c r="B80" s="2" t="s">
        <v>418</v>
      </c>
      <c r="C80" s="74" t="n">
        <f aca="false">F76-I36</f>
        <v>0</v>
      </c>
      <c r="D80" s="7" t="str">
        <f aca="false">IF(ABS(C80)&lt;0.01,"ok","ERRO")</f>
        <v>ok</v>
      </c>
    </row>
    <row r="81" customFormat="false" ht="15" hidden="false" customHeight="false" outlineLevel="0" collapsed="false">
      <c r="B81" s="2" t="s">
        <v>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3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6" min="4" style="0" width="11"/>
    <col collapsed="false" customWidth="true" hidden="false" outlineLevel="0" max="11" min="7" style="0" width="13"/>
  </cols>
  <sheetData>
    <row r="1" customFormat="false" ht="15" hidden="false" customHeight="false" outlineLevel="0" collapsed="false">
      <c r="B1" s="1" t="s">
        <v>422</v>
      </c>
    </row>
    <row r="2" customFormat="false" ht="15" hidden="false" customHeight="false" outlineLevel="0" collapsed="false">
      <c r="B2" s="2" t="s">
        <v>423</v>
      </c>
    </row>
    <row r="4" customFormat="false" ht="15" hidden="false" customHeight="false" outlineLevel="0" collapsed="false">
      <c r="B4" s="12" t="s">
        <v>16</v>
      </c>
      <c r="C4" s="13"/>
      <c r="D4" s="14" t="s">
        <v>19</v>
      </c>
      <c r="E4" s="14" t="s">
        <v>20</v>
      </c>
      <c r="F4" s="14" t="s">
        <v>21</v>
      </c>
    </row>
    <row r="5" customFormat="false" ht="15" hidden="false" customHeight="false" outlineLevel="0" collapsed="false">
      <c r="B5" s="4" t="s">
        <v>424</v>
      </c>
      <c r="D5" s="60" t="n">
        <f aca="false">Premissas!$I$203</f>
        <v>1045.56</v>
      </c>
    </row>
    <row r="6" customFormat="false" ht="15" hidden="false" customHeight="false" outlineLevel="0" collapsed="false">
      <c r="B6" s="4" t="s">
        <v>127</v>
      </c>
      <c r="D6" s="75" t="n">
        <f aca="false">Premissas!$I$205</f>
        <v>1129.39</v>
      </c>
    </row>
    <row r="7" customFormat="false" ht="15" hidden="false" customHeight="false" outlineLevel="0" collapsed="false">
      <c r="B7" s="7" t="s">
        <v>425</v>
      </c>
      <c r="D7" s="33" t="n">
        <f aca="false">D5*D6</f>
        <v>1180845.0084</v>
      </c>
    </row>
    <row r="8" customFormat="false" ht="15" hidden="false" customHeight="false" outlineLevel="0" collapsed="false">
      <c r="B8" s="4" t="s">
        <v>426</v>
      </c>
      <c r="D8" s="18" t="n">
        <f aca="false">BP!$H$5</f>
        <v>73453</v>
      </c>
    </row>
    <row r="9" customFormat="false" ht="15" hidden="false" customHeight="false" outlineLevel="0" collapsed="false">
      <c r="B9" s="4" t="s">
        <v>427</v>
      </c>
      <c r="D9" s="47" t="n">
        <f aca="false">BP!$H$19+BP!$H$22</f>
        <v>5179</v>
      </c>
    </row>
    <row r="10" customFormat="false" ht="15" hidden="false" customHeight="false" outlineLevel="0" collapsed="false">
      <c r="B10" s="7" t="s">
        <v>428</v>
      </c>
      <c r="C10" s="2" t="s">
        <v>429</v>
      </c>
      <c r="D10" s="33" t="n">
        <f aca="false">D7-D8+D9</f>
        <v>1112571.0084</v>
      </c>
    </row>
    <row r="11" customFormat="false" ht="15" hidden="false" customHeight="false" outlineLevel="0" collapsed="false">
      <c r="B11" s="2" t="s">
        <v>430</v>
      </c>
      <c r="D11" s="48" t="n">
        <f aca="false">D8-D9</f>
        <v>68274</v>
      </c>
    </row>
    <row r="13" customFormat="false" ht="15" hidden="false" customHeight="false" outlineLevel="0" collapsed="false">
      <c r="B13" s="3" t="s">
        <v>431</v>
      </c>
    </row>
    <row r="14" customFormat="false" ht="15" hidden="false" customHeight="false" outlineLevel="0" collapsed="false">
      <c r="B14" s="4" t="s">
        <v>432</v>
      </c>
      <c r="D14" s="20" t="n">
        <f aca="false">$D$10/DRE!H5</f>
        <v>8.35338775565366</v>
      </c>
      <c r="E14" s="20" t="n">
        <f aca="false">$D$10/DRE!I5</f>
        <v>4.07764229841612</v>
      </c>
      <c r="F14" s="20" t="n">
        <f aca="false">$D$10/DRE!J5</f>
        <v>3.70211249145734</v>
      </c>
    </row>
    <row r="15" customFormat="false" ht="15" hidden="false" customHeight="false" outlineLevel="0" collapsed="false">
      <c r="B15" s="4" t="s">
        <v>433</v>
      </c>
      <c r="D15" s="20" t="n">
        <f aca="false">IF(DRE!H16&lt;=0,"n.m.",$D$10/DRE!H16)</f>
        <v>10.2217966097958</v>
      </c>
      <c r="E15" s="20" t="n">
        <f aca="false">IF(DRE!I16&lt;=0,"n.m.",$D$10/DRE!I16)</f>
        <v>4.64676872371512</v>
      </c>
      <c r="F15" s="20" t="n">
        <f aca="false">IF(DRE!J16&lt;=0,"n.m.",$D$10/DRE!J16)</f>
        <v>4.20087012475494</v>
      </c>
    </row>
    <row r="16" customFormat="false" ht="15" hidden="false" customHeight="false" outlineLevel="0" collapsed="false">
      <c r="B16" s="4" t="s">
        <v>434</v>
      </c>
      <c r="D16" s="20" t="n">
        <f aca="false">IF(DRE!H31&lt;=0,"n.m.",$D$5/DRE!H31)</f>
        <v>14.0664603793892</v>
      </c>
      <c r="E16" s="20" t="n">
        <f aca="false">IF(DRE!I31&lt;=0,"n.m.",$D$5/DRE!I31)</f>
        <v>6.00050177526336</v>
      </c>
      <c r="F16" s="20" t="n">
        <f aca="false">IF(DRE!J31&lt;=0,"n.m.",$D$5/DRE!J31)</f>
        <v>4.97540359635524</v>
      </c>
    </row>
    <row r="17" customFormat="false" ht="15" hidden="false" customHeight="false" outlineLevel="0" collapsed="false">
      <c r="B17" s="4" t="s">
        <v>435</v>
      </c>
      <c r="D17" s="20" t="n">
        <f aca="false">IF(DRE!H39&lt;=0,"n.m.",$D$5/DRE!H39)</f>
        <v>13.8448093220339</v>
      </c>
      <c r="E17" s="20" t="n">
        <f aca="false">IF(DRE!I39&lt;=0,"n.m.",$D$5/DRE!I39)</f>
        <v>5.94896038635783</v>
      </c>
      <c r="F17" s="20" t="n">
        <f aca="false">IF(DRE!J39&lt;=0,"n.m.",$D$5/DRE!J39)</f>
        <v>4.93088770339068</v>
      </c>
    </row>
    <row r="18" customFormat="false" ht="15" hidden="false" customHeight="false" outlineLevel="0" collapsed="false">
      <c r="B18" s="4" t="s">
        <v>436</v>
      </c>
      <c r="D18" s="20" t="n">
        <f aca="false">$D$7/BP!H26</f>
        <v>8.53347358973247</v>
      </c>
      <c r="E18" s="20" t="n">
        <f aca="false">$D$7/BP!I26</f>
        <v>4.74521345620922</v>
      </c>
      <c r="F18" s="20" t="n">
        <f aca="false">$D$7/BP!J26</f>
        <v>3.89414947580457</v>
      </c>
    </row>
    <row r="19" customFormat="false" ht="15" hidden="false" customHeight="false" outlineLevel="0" collapsed="false">
      <c r="B19" s="4" t="s">
        <v>33</v>
      </c>
      <c r="D19" s="42" t="n">
        <f aca="false">FC!H23/$D$7</f>
        <v>0.0527630633629225</v>
      </c>
      <c r="E19" s="42" t="n">
        <f aca="false">FC!I23/$D$7</f>
        <v>0.120848236287657</v>
      </c>
      <c r="F19" s="42" t="n">
        <f aca="false">FC!J23/$D$7</f>
        <v>0.146889110540979</v>
      </c>
    </row>
    <row r="20" customFormat="false" ht="15" hidden="false" customHeight="false" outlineLevel="0" collapsed="false">
      <c r="B20" s="4" t="s">
        <v>38</v>
      </c>
      <c r="D20" s="21" t="n">
        <f aca="false">DRE!H42/$D$5</f>
        <v>0.000506905390412793</v>
      </c>
      <c r="E20" s="21" t="n">
        <f aca="false">DRE!I42/$D$5</f>
        <v>0.000669115115344887</v>
      </c>
      <c r="F20" s="21" t="n">
        <f aca="false">DRE!J42/$D$5</f>
        <v>0.000863158498794904</v>
      </c>
    </row>
    <row r="22" customFormat="false" ht="15" hidden="false" customHeight="false" outlineLevel="0" collapsed="false">
      <c r="B22" s="3" t="s">
        <v>437</v>
      </c>
    </row>
    <row r="23" customFormat="false" ht="15" hidden="false" customHeight="false" outlineLevel="0" collapsed="false">
      <c r="B23" s="22" t="s">
        <v>438</v>
      </c>
      <c r="C23" s="22" t="s">
        <v>439</v>
      </c>
      <c r="D23" s="14" t="s">
        <v>440</v>
      </c>
      <c r="E23" s="14" t="s">
        <v>7</v>
      </c>
      <c r="F23" s="14" t="s">
        <v>8</v>
      </c>
      <c r="G23" s="14" t="s">
        <v>441</v>
      </c>
      <c r="H23" s="14" t="s">
        <v>442</v>
      </c>
      <c r="I23" s="14" t="s">
        <v>443</v>
      </c>
      <c r="J23" s="14" t="s">
        <v>444</v>
      </c>
      <c r="K23" s="14" t="s">
        <v>436</v>
      </c>
    </row>
    <row r="24" customFormat="false" ht="15" hidden="false" customHeight="false" outlineLevel="0" collapsed="false">
      <c r="B24" s="4" t="s">
        <v>445</v>
      </c>
      <c r="C24" s="2" t="s">
        <v>446</v>
      </c>
      <c r="D24" s="36" t="n">
        <v>272000</v>
      </c>
      <c r="E24" s="45" t="n">
        <v>1291.5</v>
      </c>
      <c r="F24" s="50" t="s">
        <v>173</v>
      </c>
      <c r="G24" s="76" t="n">
        <v>5.3</v>
      </c>
      <c r="H24" s="76" t="n">
        <v>12.23</v>
      </c>
      <c r="I24" s="50" t="s">
        <v>173</v>
      </c>
      <c r="J24" s="50" t="s">
        <v>173</v>
      </c>
      <c r="K24" s="76" t="n">
        <v>3</v>
      </c>
    </row>
    <row r="25" customFormat="false" ht="15" hidden="false" customHeight="false" outlineLevel="0" collapsed="false">
      <c r="B25" s="4" t="s">
        <v>447</v>
      </c>
      <c r="C25" s="2" t="s">
        <v>448</v>
      </c>
      <c r="D25" s="36" t="n">
        <v>1773000</v>
      </c>
      <c r="E25" s="45" t="n">
        <v>966.3</v>
      </c>
      <c r="F25" s="45" t="n">
        <v>951.1</v>
      </c>
      <c r="G25" s="76" t="n">
        <v>4.88</v>
      </c>
      <c r="H25" s="50" t="s">
        <v>173</v>
      </c>
      <c r="I25" s="50" t="s">
        <v>173</v>
      </c>
      <c r="J25" s="76" t="n">
        <v>8.86</v>
      </c>
      <c r="K25" s="76" t="n">
        <v>5.1</v>
      </c>
    </row>
    <row r="26" customFormat="false" ht="15" hidden="false" customHeight="false" outlineLevel="0" collapsed="false">
      <c r="B26" s="4" t="s">
        <v>449</v>
      </c>
      <c r="C26" s="2" t="s">
        <v>450</v>
      </c>
      <c r="D26" s="36" t="n">
        <v>1660.46</v>
      </c>
      <c r="E26" s="45" t="n">
        <v>243.12</v>
      </c>
      <c r="F26" s="45" t="n">
        <v>244.36</v>
      </c>
      <c r="G26" s="76" t="n">
        <v>7.97</v>
      </c>
      <c r="H26" s="76" t="n">
        <v>24.63</v>
      </c>
      <c r="I26" s="76" t="n">
        <v>5.58</v>
      </c>
      <c r="J26" s="76" t="n">
        <v>19.27</v>
      </c>
      <c r="K26" s="50" t="s">
        <v>173</v>
      </c>
    </row>
    <row r="27" customFormat="false" ht="15" hidden="false" customHeight="false" outlineLevel="0" collapsed="false">
      <c r="B27" s="4" t="s">
        <v>451</v>
      </c>
      <c r="C27" s="2" t="s">
        <v>452</v>
      </c>
      <c r="D27" s="36" t="n">
        <v>18735</v>
      </c>
      <c r="E27" s="45" t="n">
        <v>195</v>
      </c>
      <c r="F27" s="50" t="s">
        <v>173</v>
      </c>
      <c r="G27" s="76" t="n">
        <v>4.34</v>
      </c>
      <c r="H27" s="76" t="n">
        <v>17.74</v>
      </c>
      <c r="I27" s="50" t="s">
        <v>173</v>
      </c>
      <c r="J27" s="76" t="n">
        <v>13.23</v>
      </c>
      <c r="K27" s="76" t="n">
        <v>13.21</v>
      </c>
    </row>
    <row r="28" customFormat="false" ht="15" hidden="false" customHeight="false" outlineLevel="0" collapsed="false">
      <c r="B28" s="4" t="s">
        <v>453</v>
      </c>
      <c r="C28" s="2" t="s">
        <v>454</v>
      </c>
      <c r="D28" s="36" t="n">
        <v>411.04</v>
      </c>
      <c r="E28" s="45" t="n">
        <v>149.7</v>
      </c>
      <c r="F28" s="45" t="n">
        <v>165.1</v>
      </c>
      <c r="G28" s="76" t="n">
        <v>19.55</v>
      </c>
      <c r="H28" s="76" t="n">
        <v>17</v>
      </c>
      <c r="I28" s="50" t="s">
        <v>173</v>
      </c>
      <c r="J28" s="76" t="n">
        <v>15.81</v>
      </c>
      <c r="K28" s="76" t="n">
        <v>18.8</v>
      </c>
    </row>
    <row r="29" customFormat="false" ht="15" hidden="false" customHeight="false" outlineLevel="0" collapsed="false">
      <c r="B29" s="4" t="s">
        <v>455</v>
      </c>
      <c r="C29" s="2" t="s">
        <v>456</v>
      </c>
      <c r="D29" s="36" t="n">
        <v>239.24</v>
      </c>
      <c r="E29" s="45" t="n">
        <v>5780</v>
      </c>
      <c r="F29" s="45" t="n">
        <v>5750</v>
      </c>
      <c r="G29" s="76" t="n">
        <v>19.78</v>
      </c>
      <c r="H29" s="76" t="n">
        <v>30.25</v>
      </c>
      <c r="I29" s="50" t="s">
        <v>173</v>
      </c>
      <c r="J29" s="76" t="n">
        <v>28.59</v>
      </c>
      <c r="K29" s="76" t="n">
        <v>24.67</v>
      </c>
    </row>
    <row r="30" customFormat="false" ht="15" hidden="false" customHeight="false" outlineLevel="0" collapsed="false">
      <c r="B30" s="7" t="s">
        <v>457</v>
      </c>
      <c r="E30" s="77" t="n">
        <f aca="false">IFERROR(AVERAGE(E24:E29),"n.d.")</f>
        <v>1437.60333333333</v>
      </c>
      <c r="F30" s="77" t="n">
        <f aca="false">IFERROR(AVERAGE(F24:F29),"n.d.")</f>
        <v>1777.64</v>
      </c>
      <c r="G30" s="78" t="n">
        <f aca="false">IFERROR(AVERAGE(G24:G29),"n.d.")</f>
        <v>10.3033333333333</v>
      </c>
      <c r="H30" s="78" t="n">
        <f aca="false">IFERROR(AVERAGE(H24:H29),"n.d.")</f>
        <v>20.37</v>
      </c>
      <c r="I30" s="78" t="n">
        <f aca="false">IFERROR(AVERAGE(I24:I29),"n.d.")</f>
        <v>5.58</v>
      </c>
      <c r="J30" s="78" t="n">
        <f aca="false">IFERROR(AVERAGE(J24:J29),"n.d.")</f>
        <v>17.152</v>
      </c>
      <c r="K30" s="78" t="n">
        <f aca="false">IFERROR(AVERAGE(K24:K29),"n.d.")</f>
        <v>12.956</v>
      </c>
    </row>
    <row r="31" customFormat="false" ht="15" hidden="false" customHeight="false" outlineLevel="0" collapsed="false">
      <c r="B31" s="7" t="s">
        <v>458</v>
      </c>
      <c r="E31" s="77" t="n">
        <f aca="false">IFERROR(MEDIAN(E24:E29),"n.d.")</f>
        <v>604.71</v>
      </c>
      <c r="F31" s="77" t="n">
        <f aca="false">IFERROR(MEDIAN(F24:F29),"n.d.")</f>
        <v>597.73</v>
      </c>
      <c r="G31" s="78" t="n">
        <f aca="false">IFERROR(MEDIAN(G24:G29),"n.d.")</f>
        <v>6.635</v>
      </c>
      <c r="H31" s="78" t="n">
        <f aca="false">IFERROR(MEDIAN(H24:H29),"n.d.")</f>
        <v>17.74</v>
      </c>
      <c r="I31" s="78" t="n">
        <f aca="false">IFERROR(MEDIAN(I24:I29),"n.d.")</f>
        <v>5.58</v>
      </c>
      <c r="J31" s="78" t="n">
        <f aca="false">IFERROR(MEDIAN(J24:J29),"n.d.")</f>
        <v>15.81</v>
      </c>
      <c r="K31" s="78" t="n">
        <f aca="false">IFERROR(MEDIAN(K24:K29),"n.d.")</f>
        <v>13.21</v>
      </c>
    </row>
    <row r="32" customFormat="false" ht="15" hidden="false" customHeight="false" outlineLevel="0" collapsed="false">
      <c r="B32" s="7" t="s">
        <v>459</v>
      </c>
      <c r="C32" s="2" t="s">
        <v>460</v>
      </c>
      <c r="D32" s="72" t="n">
        <f aca="false">D5</f>
        <v>1045.56</v>
      </c>
      <c r="E32" s="79" t="n">
        <f aca="false">D7/1000</f>
        <v>1180.8450084</v>
      </c>
      <c r="F32" s="79" t="n">
        <f aca="false">D10/1000</f>
        <v>1112.5710084</v>
      </c>
      <c r="G32" s="20" t="n">
        <f aca="false">E17</f>
        <v>5.94896038635783</v>
      </c>
      <c r="H32" s="20" t="n">
        <f aca="false">D17</f>
        <v>13.8448093220339</v>
      </c>
      <c r="I32" s="20" t="n">
        <f aca="false">E15</f>
        <v>4.64676872371512</v>
      </c>
      <c r="J32" s="20" t="n">
        <f aca="false">D15</f>
        <v>10.2217966097958</v>
      </c>
      <c r="K32" s="20" t="n">
        <f aca="false">D18</f>
        <v>8.53347358973247</v>
      </c>
    </row>
    <row r="33" customFormat="false" ht="15" hidden="false" customHeight="false" outlineLevel="0" collapsed="false">
      <c r="B33" s="2" t="s">
        <v>461</v>
      </c>
      <c r="G33" s="16" t="n">
        <f aca="false">IFERROR(G32/G31-1,"n.d.")</f>
        <v>-0.103397078167622</v>
      </c>
      <c r="H33" s="16" t="n">
        <f aca="false">IFERROR(H32/H31-1,"n.d.")</f>
        <v>-0.219571064146905</v>
      </c>
      <c r="I33" s="16" t="n">
        <f aca="false">IFERROR(I32/I31-1,"n.d.")</f>
        <v>-0.16724574843815</v>
      </c>
      <c r="J33" s="16" t="n">
        <f aca="false">IFERROR(J32/J31-1,"n.d.")</f>
        <v>-0.353460049981293</v>
      </c>
      <c r="K33" s="16" t="n">
        <f aca="false">IFERROR(K32/K31-1,"n.d.")</f>
        <v>-0.354014111299586</v>
      </c>
    </row>
    <row r="34" customFormat="false" ht="15" hidden="false" customHeight="false" outlineLevel="0" collapsed="false">
      <c r="B34" s="2" t="s">
        <v>462</v>
      </c>
    </row>
    <row r="35" customFormat="false" ht="15" hidden="false" customHeight="false" outlineLevel="0" collapsed="false">
      <c r="B35" s="2" t="s">
        <v>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5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16" min="4" style="0" width="9.5"/>
  </cols>
  <sheetData>
    <row r="1" customFormat="false" ht="15" hidden="false" customHeight="false" outlineLevel="0" collapsed="false">
      <c r="B1" s="1" t="s">
        <v>464</v>
      </c>
    </row>
    <row r="2" customFormat="false" ht="15" hidden="false" customHeight="false" outlineLevel="0" collapsed="false">
      <c r="B2" s="2" t="s">
        <v>465</v>
      </c>
    </row>
    <row r="4" customFormat="false" ht="15" hidden="false" customHeight="false" outlineLevel="0" collapsed="false">
      <c r="B4" s="12" t="s">
        <v>16</v>
      </c>
      <c r="C4" s="13"/>
      <c r="D4" s="14" t="s">
        <v>466</v>
      </c>
      <c r="E4" s="14" t="s">
        <v>467</v>
      </c>
      <c r="F4" s="14" t="s">
        <v>468</v>
      </c>
      <c r="G4" s="14" t="s">
        <v>469</v>
      </c>
      <c r="H4" s="14" t="s">
        <v>470</v>
      </c>
      <c r="I4" s="14" t="s">
        <v>471</v>
      </c>
      <c r="J4" s="14" t="s">
        <v>472</v>
      </c>
      <c r="K4" s="14" t="s">
        <v>473</v>
      </c>
      <c r="L4" s="14" t="s">
        <v>474</v>
      </c>
      <c r="M4" s="14" t="s">
        <v>475</v>
      </c>
      <c r="N4" s="14" t="s">
        <v>476</v>
      </c>
      <c r="O4" s="14" t="s">
        <v>477</v>
      </c>
      <c r="P4" s="14" t="s">
        <v>478</v>
      </c>
    </row>
    <row r="5" customFormat="false" ht="15" hidden="false" customHeight="false" outlineLevel="0" collapsed="false">
      <c r="B5" s="7" t="s">
        <v>23</v>
      </c>
      <c r="C5" s="2" t="s">
        <v>479</v>
      </c>
      <c r="D5" s="32" t="n">
        <v>4726</v>
      </c>
      <c r="E5" s="32" t="n">
        <v>5824</v>
      </c>
      <c r="F5" s="32" t="n">
        <v>6811</v>
      </c>
      <c r="G5" s="32" t="n">
        <v>7750</v>
      </c>
      <c r="H5" s="32" t="n">
        <v>8709</v>
      </c>
      <c r="I5" s="32" t="n">
        <v>8053</v>
      </c>
      <c r="J5" s="32" t="n">
        <v>9301</v>
      </c>
      <c r="K5" s="32" t="n">
        <v>11315</v>
      </c>
      <c r="L5" s="32" t="n">
        <v>13643</v>
      </c>
      <c r="M5" s="32" t="n">
        <v>23860</v>
      </c>
      <c r="N5" s="32" t="n">
        <v>41456</v>
      </c>
      <c r="O5" s="32" t="n">
        <v>54229</v>
      </c>
      <c r="P5" s="32" t="n">
        <v>61500</v>
      </c>
    </row>
    <row r="6" customFormat="false" ht="15" hidden="false" customHeight="false" outlineLevel="0" collapsed="false">
      <c r="B6" s="4" t="s">
        <v>480</v>
      </c>
      <c r="D6" s="32" t="n">
        <v>3470</v>
      </c>
      <c r="E6" s="32" t="n">
        <v>4200</v>
      </c>
      <c r="F6" s="32" t="n">
        <v>4700</v>
      </c>
      <c r="G6" s="32" t="n">
        <v>5300</v>
      </c>
      <c r="H6" s="32" t="n">
        <v>6400</v>
      </c>
      <c r="I6" s="32" t="n">
        <v>6100</v>
      </c>
      <c r="J6" s="32" t="n">
        <v>7100</v>
      </c>
      <c r="K6" s="32" t="n">
        <v>9000</v>
      </c>
      <c r="L6" s="32" t="n">
        <v>10812</v>
      </c>
      <c r="M6" s="32" t="n">
        <v>18800</v>
      </c>
      <c r="N6" s="32" t="n">
        <v>31300</v>
      </c>
      <c r="O6" s="32" t="n">
        <v>39800</v>
      </c>
      <c r="P6" s="50" t="s">
        <v>173</v>
      </c>
    </row>
    <row r="7" customFormat="false" ht="15" hidden="false" customHeight="false" outlineLevel="0" collapsed="false">
      <c r="B7" s="4" t="s">
        <v>481</v>
      </c>
      <c r="D7" s="32" t="n">
        <v>1260</v>
      </c>
      <c r="E7" s="32" t="n">
        <v>1600</v>
      </c>
      <c r="F7" s="32" t="n">
        <v>2100</v>
      </c>
      <c r="G7" s="32" t="n">
        <v>2400</v>
      </c>
      <c r="H7" s="32" t="n">
        <v>2200</v>
      </c>
      <c r="I7" s="32" t="n">
        <v>1900</v>
      </c>
      <c r="J7" s="32" t="n">
        <v>2200</v>
      </c>
      <c r="K7" s="32" t="n">
        <v>2300</v>
      </c>
      <c r="L7" s="32" t="n">
        <v>2743</v>
      </c>
      <c r="M7" s="32" t="n">
        <v>5000</v>
      </c>
      <c r="N7" s="32" t="n">
        <v>9900</v>
      </c>
      <c r="O7" s="32" t="n">
        <v>14100</v>
      </c>
      <c r="P7" s="50" t="s">
        <v>173</v>
      </c>
    </row>
    <row r="8" customFormat="false" ht="15" hidden="false" customHeight="false" outlineLevel="0" collapsed="false">
      <c r="B8" s="2" t="s">
        <v>482</v>
      </c>
      <c r="E8" s="16" t="n">
        <f aca="false">E5/D5-1</f>
        <v>0.232331781633517</v>
      </c>
      <c r="F8" s="16" t="n">
        <f aca="false">F5/E5-1</f>
        <v>0.169471153846154</v>
      </c>
      <c r="G8" s="16" t="n">
        <f aca="false">G5/F5-1</f>
        <v>0.137865218029658</v>
      </c>
      <c r="H8" s="16" t="n">
        <f aca="false">H5/G5-1</f>
        <v>0.123741935483871</v>
      </c>
      <c r="I8" s="16" t="n">
        <f aca="false">I5/H5-1</f>
        <v>-0.0753243770811803</v>
      </c>
      <c r="J8" s="16" t="n">
        <f aca="false">J5/I5-1</f>
        <v>0.154973301875078</v>
      </c>
      <c r="K8" s="16" t="n">
        <f aca="false">K5/J5-1</f>
        <v>0.216535856359531</v>
      </c>
      <c r="L8" s="16" t="n">
        <f aca="false">L5/K5-1</f>
        <v>0.205744586831639</v>
      </c>
      <c r="M8" s="16" t="n">
        <f aca="false">M5/L5-1</f>
        <v>0.74888221065748</v>
      </c>
      <c r="N8" s="16" t="n">
        <f aca="false">N5/M5-1</f>
        <v>0.737468566638726</v>
      </c>
      <c r="O8" s="16" t="n">
        <f aca="false">O5/N5-1</f>
        <v>0.308109803164801</v>
      </c>
      <c r="P8" s="16" t="n">
        <f aca="false">P5/O5-1</f>
        <v>0.134079551531468</v>
      </c>
    </row>
    <row r="9" customFormat="false" ht="15" hidden="false" customHeight="false" outlineLevel="0" collapsed="false">
      <c r="B9" s="4" t="s">
        <v>483</v>
      </c>
      <c r="D9" s="28" t="n">
        <v>-0.007</v>
      </c>
      <c r="E9" s="28" t="n">
        <v>0.185</v>
      </c>
      <c r="F9" s="28" t="n">
        <v>0.269</v>
      </c>
      <c r="G9" s="28" t="n">
        <v>0.353</v>
      </c>
      <c r="H9" s="28" t="n">
        <v>0.384</v>
      </c>
      <c r="I9" s="28" t="n">
        <v>0.368</v>
      </c>
      <c r="J9" s="28" t="n">
        <v>0.377</v>
      </c>
      <c r="K9" s="28" t="n">
        <v>0.447</v>
      </c>
      <c r="L9" s="28" t="n">
        <v>0.56</v>
      </c>
      <c r="M9" s="28" t="n">
        <v>0.744</v>
      </c>
      <c r="N9" s="28" t="n">
        <v>0.846</v>
      </c>
      <c r="O9" s="28" t="n">
        <v>0.868</v>
      </c>
      <c r="P9" s="30" t="n">
        <v>0.8595</v>
      </c>
    </row>
    <row r="10" customFormat="false" ht="15" hidden="false" customHeight="false" outlineLevel="0" collapsed="false">
      <c r="B10" s="4" t="s">
        <v>484</v>
      </c>
      <c r="D10" s="28" t="n">
        <v>0.008</v>
      </c>
      <c r="E10" s="28" t="n">
        <v>0.2</v>
      </c>
      <c r="F10" s="28" t="n">
        <v>0.281</v>
      </c>
      <c r="G10" s="28" t="n">
        <v>0.365</v>
      </c>
      <c r="H10" s="28" t="n">
        <v>0.395</v>
      </c>
      <c r="I10" s="28" t="n">
        <v>0.379</v>
      </c>
      <c r="J10" s="28" t="n">
        <v>0.39</v>
      </c>
      <c r="K10" s="28" t="n">
        <v>0.457</v>
      </c>
      <c r="L10" s="28" t="n">
        <v>0.568</v>
      </c>
      <c r="M10" s="28" t="n">
        <v>0.749</v>
      </c>
      <c r="N10" s="28" t="n">
        <v>0.849</v>
      </c>
      <c r="O10" s="28" t="n">
        <v>0.87</v>
      </c>
      <c r="P10" s="30" t="n">
        <v>0.8625</v>
      </c>
    </row>
    <row r="11" customFormat="false" ht="15" hidden="false" customHeight="false" outlineLevel="0" collapsed="false">
      <c r="B11" s="4" t="s">
        <v>485</v>
      </c>
      <c r="D11" s="32" t="n">
        <v>992</v>
      </c>
      <c r="E11" s="32" t="n">
        <v>959</v>
      </c>
      <c r="F11" s="32" t="n">
        <v>973</v>
      </c>
      <c r="G11" s="32" t="n">
        <v>1084</v>
      </c>
      <c r="H11" s="32" t="n">
        <v>1047</v>
      </c>
      <c r="I11" s="32" t="n">
        <v>1046</v>
      </c>
      <c r="J11" s="32" t="n">
        <v>1133</v>
      </c>
      <c r="K11" s="32" t="n">
        <v>1214</v>
      </c>
      <c r="L11" s="32" t="n">
        <v>1334</v>
      </c>
      <c r="M11" s="32" t="n">
        <v>1421</v>
      </c>
      <c r="N11" s="32" t="n">
        <v>1518</v>
      </c>
      <c r="O11" s="32" t="n">
        <v>2568</v>
      </c>
      <c r="P11" s="32" t="n">
        <v>2060</v>
      </c>
    </row>
    <row r="12" customFormat="false" ht="15" hidden="false" customHeight="false" outlineLevel="0" collapsed="false">
      <c r="B12" s="4" t="s">
        <v>486</v>
      </c>
      <c r="D12" s="32" t="n">
        <v>-955</v>
      </c>
      <c r="E12" s="32" t="n">
        <v>204</v>
      </c>
      <c r="F12" s="32" t="n">
        <v>941</v>
      </c>
      <c r="G12" s="32" t="n">
        <v>1745</v>
      </c>
      <c r="H12" s="32" t="n">
        <v>2394</v>
      </c>
      <c r="I12" s="32" t="n">
        <v>2007</v>
      </c>
      <c r="J12" s="32" t="n">
        <v>2490</v>
      </c>
      <c r="K12" s="32" t="n">
        <v>3955</v>
      </c>
      <c r="L12" s="32" t="n">
        <v>6419</v>
      </c>
      <c r="M12" s="32" t="n">
        <v>16450</v>
      </c>
      <c r="N12" s="32" t="n">
        <v>33681</v>
      </c>
      <c r="O12" s="32" t="n">
        <v>44636</v>
      </c>
      <c r="P12" s="47" t="n">
        <f aca="false">P5*P10-P11</f>
        <v>50983.75</v>
      </c>
    </row>
    <row r="13" customFormat="false" ht="15" hidden="false" customHeight="false" outlineLevel="0" collapsed="false">
      <c r="B13" s="4" t="s">
        <v>220</v>
      </c>
      <c r="D13" s="32" t="n">
        <v>-1050</v>
      </c>
      <c r="E13" s="32" t="n">
        <v>476</v>
      </c>
      <c r="F13" s="32" t="n">
        <v>702</v>
      </c>
      <c r="G13" s="50" t="s">
        <v>173</v>
      </c>
      <c r="H13" s="32" t="n">
        <v>2040</v>
      </c>
      <c r="I13" s="32" t="n">
        <v>1780</v>
      </c>
      <c r="J13" s="32" t="n">
        <v>2180</v>
      </c>
      <c r="K13" s="32" t="n">
        <v>3470</v>
      </c>
      <c r="L13" s="32" t="n">
        <v>5480</v>
      </c>
      <c r="M13" s="32" t="n">
        <v>14020</v>
      </c>
      <c r="N13" s="32" t="n">
        <v>28860</v>
      </c>
      <c r="O13" s="32" t="n">
        <v>38400</v>
      </c>
      <c r="P13" s="47" t="n">
        <f aca="false">P14*P16</f>
        <v>43872.5</v>
      </c>
    </row>
    <row r="14" customFormat="false" ht="15" hidden="false" customHeight="false" outlineLevel="0" collapsed="false">
      <c r="B14" s="7" t="s">
        <v>30</v>
      </c>
      <c r="D14" s="46" t="n">
        <v>-0.95</v>
      </c>
      <c r="E14" s="46" t="n">
        <v>0.42</v>
      </c>
      <c r="F14" s="46" t="n">
        <v>0.62</v>
      </c>
      <c r="G14" s="46" t="n">
        <v>1.18</v>
      </c>
      <c r="H14" s="46" t="n">
        <v>1.79</v>
      </c>
      <c r="I14" s="46" t="n">
        <v>1.56</v>
      </c>
      <c r="J14" s="46" t="n">
        <v>1.91</v>
      </c>
      <c r="K14" s="46" t="n">
        <v>3.03</v>
      </c>
      <c r="L14" s="46" t="n">
        <v>4.78</v>
      </c>
      <c r="M14" s="46" t="n">
        <v>12.2</v>
      </c>
      <c r="N14" s="46" t="n">
        <v>25.11</v>
      </c>
      <c r="O14" s="46" t="n">
        <v>33.42</v>
      </c>
      <c r="P14" s="46" t="n">
        <v>38.15</v>
      </c>
    </row>
    <row r="15" customFormat="false" ht="15" hidden="false" customHeight="false" outlineLevel="0" collapsed="false">
      <c r="B15" s="4" t="s">
        <v>487</v>
      </c>
      <c r="D15" s="46" t="n">
        <v>-1.12</v>
      </c>
      <c r="E15" s="46" t="n">
        <v>0.71</v>
      </c>
      <c r="F15" s="46" t="n">
        <v>0.3</v>
      </c>
      <c r="G15" s="46" t="n">
        <v>0.79</v>
      </c>
      <c r="H15" s="46" t="n">
        <v>1.67</v>
      </c>
      <c r="I15" s="46" t="n">
        <v>1.41</v>
      </c>
      <c r="J15" s="46" t="n">
        <v>1.68</v>
      </c>
      <c r="K15" s="46" t="n">
        <v>2.83</v>
      </c>
      <c r="L15" s="46" t="n">
        <v>4.6</v>
      </c>
      <c r="M15" s="46" t="n">
        <v>12.07</v>
      </c>
      <c r="N15" s="46" t="n">
        <v>24.67</v>
      </c>
      <c r="O15" s="46" t="n">
        <v>32.87</v>
      </c>
      <c r="P15" s="46" t="n">
        <v>37.84</v>
      </c>
    </row>
    <row r="16" customFormat="false" ht="15" hidden="false" customHeight="false" outlineLevel="0" collapsed="false">
      <c r="B16" s="2" t="s">
        <v>392</v>
      </c>
      <c r="D16" s="32" t="n">
        <v>1098</v>
      </c>
      <c r="E16" s="32" t="n">
        <v>1117</v>
      </c>
      <c r="F16" s="32" t="n">
        <v>1132</v>
      </c>
      <c r="G16" s="32" t="n">
        <v>1123</v>
      </c>
      <c r="H16" s="32" t="n">
        <v>1140</v>
      </c>
      <c r="I16" s="32" t="n">
        <v>1141</v>
      </c>
      <c r="J16" s="32" t="n">
        <v>1125</v>
      </c>
      <c r="K16" s="32" t="n">
        <v>1145</v>
      </c>
      <c r="L16" s="32" t="n">
        <v>1146</v>
      </c>
      <c r="M16" s="32" t="n">
        <v>1142</v>
      </c>
      <c r="N16" s="32" t="n">
        <v>1145</v>
      </c>
      <c r="O16" s="32" t="n">
        <v>1147</v>
      </c>
      <c r="P16" s="32" t="n">
        <v>1150</v>
      </c>
    </row>
    <row r="17" customFormat="false" ht="15" hidden="false" customHeight="false" outlineLevel="0" collapsed="false">
      <c r="B17" s="4" t="s">
        <v>488</v>
      </c>
      <c r="D17" s="32" t="n">
        <v>1730</v>
      </c>
      <c r="E17" s="32" t="n">
        <v>1250</v>
      </c>
      <c r="F17" s="32" t="n">
        <v>2057</v>
      </c>
      <c r="G17" s="32" t="n">
        <v>3080</v>
      </c>
      <c r="H17" s="32" t="n">
        <v>3130</v>
      </c>
      <c r="I17" s="32" t="n">
        <v>3090</v>
      </c>
      <c r="J17" s="32" t="n">
        <v>2700</v>
      </c>
      <c r="K17" s="32" t="n">
        <v>4930</v>
      </c>
      <c r="L17" s="32" t="n">
        <v>4500</v>
      </c>
      <c r="M17" s="32" t="n">
        <v>5000</v>
      </c>
      <c r="N17" s="32" t="n">
        <v>7100</v>
      </c>
      <c r="O17" s="32" t="n">
        <v>10770</v>
      </c>
      <c r="P17" s="32" t="n">
        <v>11500</v>
      </c>
    </row>
    <row r="18" customFormat="false" ht="15" hidden="false" customHeight="false" outlineLevel="0" collapsed="false">
      <c r="B18" s="4" t="s">
        <v>489</v>
      </c>
      <c r="D18" s="32" t="n">
        <v>-333</v>
      </c>
      <c r="E18" s="32" t="n">
        <v>-29</v>
      </c>
      <c r="F18" s="32" t="n">
        <v>425</v>
      </c>
      <c r="G18" s="32" t="n">
        <v>323</v>
      </c>
      <c r="H18" s="32" t="n">
        <v>112</v>
      </c>
      <c r="I18" s="32" t="n">
        <v>857</v>
      </c>
      <c r="J18" s="32" t="n">
        <v>1900</v>
      </c>
      <c r="K18" s="32" t="n">
        <v>803</v>
      </c>
      <c r="L18" s="32" t="n">
        <v>3900</v>
      </c>
      <c r="M18" s="32" t="n">
        <v>6900</v>
      </c>
      <c r="N18" s="32" t="n">
        <v>18300</v>
      </c>
      <c r="O18" s="32" t="n">
        <v>33200</v>
      </c>
      <c r="P18" s="50" t="s">
        <v>173</v>
      </c>
    </row>
    <row r="19" customFormat="false" ht="15" hidden="false" customHeight="false" outlineLevel="0" collapsed="false">
      <c r="B19" s="4" t="s">
        <v>490</v>
      </c>
      <c r="D19" s="32" t="n">
        <v>9840</v>
      </c>
      <c r="E19" s="32" t="n">
        <v>9720</v>
      </c>
      <c r="F19" s="32" t="n">
        <v>9220</v>
      </c>
      <c r="G19" s="32" t="n">
        <v>9160</v>
      </c>
      <c r="H19" s="32" t="n">
        <v>8750</v>
      </c>
      <c r="I19" s="32" t="n">
        <v>9600</v>
      </c>
      <c r="J19" s="32" t="n">
        <v>12200</v>
      </c>
      <c r="K19" s="32" t="n">
        <v>11940</v>
      </c>
      <c r="L19" s="32" t="n">
        <v>12050</v>
      </c>
      <c r="M19" s="32" t="n">
        <v>16700</v>
      </c>
      <c r="N19" s="32" t="n">
        <v>30200</v>
      </c>
      <c r="O19" s="32" t="n">
        <v>73480</v>
      </c>
      <c r="P19" s="50" t="s">
        <v>173</v>
      </c>
    </row>
    <row r="20" customFormat="false" ht="15" hidden="false" customHeight="false" outlineLevel="0" collapsed="false">
      <c r="B20" s="4" t="s">
        <v>491</v>
      </c>
      <c r="D20" s="32" t="n">
        <v>13505</v>
      </c>
      <c r="E20" s="32" t="n">
        <v>13722</v>
      </c>
      <c r="F20" s="32" t="n">
        <v>13258</v>
      </c>
      <c r="G20" s="32" t="n">
        <v>13400</v>
      </c>
      <c r="H20" s="32" t="n">
        <v>13800</v>
      </c>
      <c r="I20" s="50" t="s">
        <v>173</v>
      </c>
      <c r="J20" s="32" t="n">
        <v>15500</v>
      </c>
      <c r="K20" s="32" t="n">
        <v>14600</v>
      </c>
      <c r="L20" s="32" t="n">
        <v>11800</v>
      </c>
      <c r="M20" s="32" t="n">
        <v>10100</v>
      </c>
      <c r="N20" s="32" t="n">
        <v>5700</v>
      </c>
      <c r="O20" s="32" t="n">
        <v>5179</v>
      </c>
      <c r="P20" s="50" t="s">
        <v>173</v>
      </c>
    </row>
    <row r="21" customFormat="false" ht="15" hidden="false" customHeight="false" outlineLevel="0" collapsed="false">
      <c r="B21" s="4" t="s">
        <v>492</v>
      </c>
      <c r="D21" s="50" t="s">
        <v>173</v>
      </c>
      <c r="E21" s="50" t="s">
        <v>173</v>
      </c>
      <c r="F21" s="50" t="s">
        <v>173</v>
      </c>
      <c r="G21" s="34" t="n">
        <v>158</v>
      </c>
      <c r="H21" s="34" t="n">
        <v>149</v>
      </c>
      <c r="I21" s="34" t="n">
        <v>158</v>
      </c>
      <c r="J21" s="50" t="s">
        <v>173</v>
      </c>
      <c r="K21" s="34" t="n">
        <v>124</v>
      </c>
      <c r="L21" s="34" t="n">
        <v>126</v>
      </c>
      <c r="M21" s="34" t="n">
        <v>123</v>
      </c>
      <c r="N21" s="34" t="n">
        <v>120</v>
      </c>
      <c r="O21" s="34" t="n">
        <v>129</v>
      </c>
      <c r="P21" s="50" t="s">
        <v>173</v>
      </c>
    </row>
    <row r="22" customFormat="false" ht="15" hidden="false" customHeight="false" outlineLevel="0" collapsed="false">
      <c r="B22" s="4" t="s">
        <v>222</v>
      </c>
      <c r="D22" s="46" t="n">
        <v>0.115</v>
      </c>
      <c r="E22" s="46" t="n">
        <v>0.115</v>
      </c>
      <c r="F22" s="46" t="n">
        <v>0.115</v>
      </c>
      <c r="G22" s="46" t="n">
        <v>0.115</v>
      </c>
      <c r="H22" s="46" t="n">
        <v>0.115</v>
      </c>
      <c r="I22" s="46" t="n">
        <v>0.115</v>
      </c>
      <c r="J22" s="46" t="n">
        <v>0.115</v>
      </c>
      <c r="K22" s="46" t="n">
        <v>0.115</v>
      </c>
      <c r="L22" s="46" t="n">
        <v>0.115</v>
      </c>
      <c r="M22" s="46" t="n">
        <v>0.115</v>
      </c>
      <c r="N22" s="46" t="n">
        <v>0.15</v>
      </c>
      <c r="O22" s="46" t="n">
        <v>0.15</v>
      </c>
      <c r="P22" s="46" t="n">
        <v>0.15</v>
      </c>
    </row>
    <row r="24" customFormat="false" ht="15" hidden="false" customHeight="false" outlineLevel="0" collapsed="false">
      <c r="B24" s="3" t="s">
        <v>493</v>
      </c>
    </row>
    <row r="25" customFormat="false" ht="15" hidden="false" customHeight="false" outlineLevel="0" collapsed="false">
      <c r="B25" s="4" t="s">
        <v>494</v>
      </c>
      <c r="C25" s="2" t="s">
        <v>495</v>
      </c>
      <c r="D25" s="51" t="s">
        <v>496</v>
      </c>
      <c r="E25" s="51" t="s">
        <v>497</v>
      </c>
      <c r="F25" s="51" t="s">
        <v>498</v>
      </c>
      <c r="G25" s="2" t="s">
        <v>173</v>
      </c>
      <c r="H25" s="51" t="s">
        <v>499</v>
      </c>
      <c r="I25" s="51" t="s">
        <v>500</v>
      </c>
      <c r="J25" s="51" t="s">
        <v>501</v>
      </c>
      <c r="K25" s="51" t="s">
        <v>502</v>
      </c>
      <c r="L25" s="51" t="s">
        <v>503</v>
      </c>
      <c r="M25" s="51" t="s">
        <v>504</v>
      </c>
      <c r="N25" s="51" t="s">
        <v>505</v>
      </c>
      <c r="O25" s="51" t="s">
        <v>506</v>
      </c>
    </row>
    <row r="26" customFormat="false" ht="15" hidden="false" customHeight="false" outlineLevel="0" collapsed="false">
      <c r="B26" s="4" t="s">
        <v>507</v>
      </c>
      <c r="D26" s="51" t="s">
        <v>508</v>
      </c>
      <c r="E26" s="51" t="s">
        <v>509</v>
      </c>
      <c r="F26" s="51" t="s">
        <v>510</v>
      </c>
      <c r="G26" s="2" t="s">
        <v>173</v>
      </c>
      <c r="H26" s="51" t="s">
        <v>511</v>
      </c>
      <c r="I26" s="51" t="s">
        <v>512</v>
      </c>
      <c r="J26" s="51" t="s">
        <v>513</v>
      </c>
      <c r="K26" s="51" t="s">
        <v>514</v>
      </c>
      <c r="L26" s="51" t="s">
        <v>515</v>
      </c>
      <c r="M26" s="51" t="s">
        <v>516</v>
      </c>
      <c r="N26" s="51" t="s">
        <v>517</v>
      </c>
      <c r="O26" s="51" t="s">
        <v>518</v>
      </c>
    </row>
    <row r="27" customFormat="false" ht="15" hidden="false" customHeight="false" outlineLevel="0" collapsed="false">
      <c r="B27" s="4" t="s">
        <v>519</v>
      </c>
      <c r="D27" s="51" t="s">
        <v>520</v>
      </c>
      <c r="E27" s="51" t="s">
        <v>521</v>
      </c>
      <c r="F27" s="51" t="s">
        <v>522</v>
      </c>
      <c r="G27" s="2" t="s">
        <v>173</v>
      </c>
      <c r="H27" s="51" t="s">
        <v>523</v>
      </c>
      <c r="I27" s="51" t="s">
        <v>524</v>
      </c>
      <c r="J27" s="51" t="s">
        <v>525</v>
      </c>
      <c r="K27" s="51" t="s">
        <v>526</v>
      </c>
      <c r="L27" s="51" t="s">
        <v>527</v>
      </c>
      <c r="M27" s="51" t="s">
        <v>528</v>
      </c>
      <c r="N27" s="51" t="s">
        <v>504</v>
      </c>
      <c r="O27" s="51" t="s">
        <v>529</v>
      </c>
    </row>
    <row r="28" customFormat="false" ht="15" hidden="false" customHeight="false" outlineLevel="0" collapsed="false">
      <c r="B28" s="4" t="s">
        <v>530</v>
      </c>
      <c r="D28" s="51" t="s">
        <v>531</v>
      </c>
      <c r="E28" s="51" t="s">
        <v>532</v>
      </c>
      <c r="F28" s="51" t="s">
        <v>531</v>
      </c>
      <c r="G28" s="2" t="s">
        <v>173</v>
      </c>
      <c r="H28" s="51" t="s">
        <v>533</v>
      </c>
      <c r="I28" s="51" t="s">
        <v>534</v>
      </c>
      <c r="J28" s="51" t="s">
        <v>535</v>
      </c>
      <c r="K28" s="51" t="s">
        <v>536</v>
      </c>
      <c r="L28" s="51" t="s">
        <v>537</v>
      </c>
      <c r="M28" s="51" t="s">
        <v>538</v>
      </c>
      <c r="N28" s="51" t="s">
        <v>539</v>
      </c>
      <c r="O28" s="51" t="s">
        <v>540</v>
      </c>
    </row>
    <row r="29" customFormat="false" ht="15" hidden="false" customHeight="false" outlineLevel="0" collapsed="false">
      <c r="B29" s="4" t="s">
        <v>541</v>
      </c>
      <c r="D29" s="51" t="s">
        <v>542</v>
      </c>
      <c r="E29" s="51" t="s">
        <v>543</v>
      </c>
      <c r="F29" s="51" t="s">
        <v>544</v>
      </c>
      <c r="G29" s="51" t="s">
        <v>545</v>
      </c>
      <c r="H29" s="51" t="s">
        <v>546</v>
      </c>
      <c r="I29" s="51" t="s">
        <v>547</v>
      </c>
      <c r="J29" s="51" t="s">
        <v>548</v>
      </c>
      <c r="K29" s="51" t="s">
        <v>549</v>
      </c>
      <c r="L29" s="51" t="s">
        <v>550</v>
      </c>
      <c r="M29" s="51" t="s">
        <v>551</v>
      </c>
      <c r="N29" s="51" t="s">
        <v>552</v>
      </c>
      <c r="O29" s="51" t="s">
        <v>553</v>
      </c>
      <c r="P29" s="51" t="s">
        <v>554</v>
      </c>
    </row>
    <row r="31" customFormat="false" ht="15" hidden="false" customHeight="false" outlineLevel="0" collapsed="false">
      <c r="B31" s="3" t="s">
        <v>555</v>
      </c>
    </row>
    <row r="32" customFormat="false" ht="15" hidden="false" customHeight="false" outlineLevel="0" collapsed="false">
      <c r="B32" s="4" t="s">
        <v>556</v>
      </c>
      <c r="K32" s="32" t="n">
        <v>4543</v>
      </c>
      <c r="L32" s="32" t="n">
        <v>5300</v>
      </c>
      <c r="M32" s="32" t="n">
        <v>7749</v>
      </c>
      <c r="N32" s="32" t="n">
        <v>13769</v>
      </c>
      <c r="O32" s="32" t="n">
        <v>16283</v>
      </c>
    </row>
    <row r="33" customFormat="false" ht="15" hidden="false" customHeight="false" outlineLevel="0" collapsed="false">
      <c r="B33" s="4" t="s">
        <v>557</v>
      </c>
      <c r="K33" s="32" t="n">
        <v>1577</v>
      </c>
      <c r="L33" s="32" t="n">
        <v>2379</v>
      </c>
      <c r="M33" s="32" t="n">
        <v>5690</v>
      </c>
      <c r="N33" s="32" t="n">
        <v>11524</v>
      </c>
      <c r="O33" s="32" t="n">
        <v>18002</v>
      </c>
    </row>
    <row r="34" customFormat="false" ht="15" hidden="false" customHeight="false" outlineLevel="0" collapsed="false">
      <c r="B34" s="4" t="s">
        <v>558</v>
      </c>
      <c r="K34" s="32" t="n">
        <v>3760</v>
      </c>
      <c r="L34" s="32" t="n">
        <v>4300</v>
      </c>
      <c r="M34" s="32" t="n">
        <v>7700</v>
      </c>
      <c r="N34" s="32" t="n">
        <v>11521</v>
      </c>
      <c r="O34" s="32" t="n">
        <v>13114</v>
      </c>
    </row>
    <row r="35" customFormat="false" ht="15" hidden="false" customHeight="false" outlineLevel="0" collapsed="false">
      <c r="B35" s="4" t="s">
        <v>559</v>
      </c>
      <c r="K35" s="32" t="n">
        <v>1435</v>
      </c>
      <c r="L35" s="32" t="n">
        <v>1700</v>
      </c>
      <c r="M35" s="32" t="n">
        <v>2700</v>
      </c>
      <c r="N35" s="32" t="n">
        <v>4634</v>
      </c>
      <c r="O35" s="32" t="n">
        <v>6824</v>
      </c>
    </row>
    <row r="36" customFormat="false" ht="15" hidden="false" customHeight="false" outlineLevel="0" collapsed="false">
      <c r="B36" s="3" t="s">
        <v>560</v>
      </c>
    </row>
    <row r="37" customFormat="false" ht="15" hidden="false" customHeight="false" outlineLevel="0" collapsed="false">
      <c r="B37" s="4" t="s">
        <v>561</v>
      </c>
      <c r="D37" s="32" t="n">
        <v>1737</v>
      </c>
      <c r="E37" s="32" t="n">
        <v>2185</v>
      </c>
      <c r="F37" s="32" t="n">
        <v>2570</v>
      </c>
      <c r="H37" s="32" t="n">
        <v>4395</v>
      </c>
      <c r="I37" s="32" t="n">
        <v>4564</v>
      </c>
      <c r="J37" s="32" t="n">
        <v>5069</v>
      </c>
    </row>
    <row r="38" customFormat="false" ht="15" hidden="false" customHeight="false" outlineLevel="0" collapsed="false">
      <c r="B38" s="4" t="s">
        <v>562</v>
      </c>
      <c r="D38" s="32" t="n">
        <v>1293</v>
      </c>
      <c r="E38" s="32" t="n">
        <v>1598</v>
      </c>
      <c r="F38" s="32" t="n">
        <v>1590</v>
      </c>
      <c r="H38" s="32" t="n">
        <v>1527</v>
      </c>
      <c r="I38" s="32" t="n">
        <v>1068</v>
      </c>
      <c r="J38" s="32" t="n">
        <v>1551</v>
      </c>
    </row>
    <row r="39" customFormat="false" ht="15" hidden="false" customHeight="false" outlineLevel="0" collapsed="false">
      <c r="B39" s="4" t="s">
        <v>563</v>
      </c>
      <c r="D39" s="32" t="n">
        <v>1037</v>
      </c>
      <c r="E39" s="32" t="n">
        <v>1111</v>
      </c>
      <c r="F39" s="32" t="n">
        <v>1290</v>
      </c>
      <c r="I39" s="32" t="n">
        <v>1025</v>
      </c>
      <c r="J39" s="32" t="n">
        <v>1227</v>
      </c>
    </row>
    <row r="40" customFormat="false" ht="15" hidden="false" customHeight="false" outlineLevel="0" collapsed="false">
      <c r="B40" s="4" t="s">
        <v>564</v>
      </c>
      <c r="D40" s="32" t="n">
        <v>653</v>
      </c>
      <c r="E40" s="32" t="n">
        <v>905</v>
      </c>
      <c r="F40" s="32" t="n">
        <v>1350</v>
      </c>
      <c r="I40" s="32" t="n">
        <v>1392</v>
      </c>
      <c r="J40" s="32" t="n">
        <v>1451</v>
      </c>
    </row>
    <row r="42" customFormat="false" ht="15" hidden="false" customHeight="false" outlineLevel="0" collapsed="false">
      <c r="B42" s="3" t="s">
        <v>565</v>
      </c>
    </row>
    <row r="43" customFormat="false" ht="15" hidden="false" customHeight="false" outlineLevel="0" collapsed="false">
      <c r="B43" s="4" t="s">
        <v>566</v>
      </c>
      <c r="D43" s="47" t="n">
        <f aca="false">4*P5</f>
        <v>246000</v>
      </c>
    </row>
    <row r="44" customFormat="false" ht="15" hidden="false" customHeight="false" outlineLevel="0" collapsed="false">
      <c r="B44" s="4" t="s">
        <v>567</v>
      </c>
      <c r="D44" s="18" t="n">
        <f aca="false">DRE!$I$5</f>
        <v>272846.642</v>
      </c>
    </row>
    <row r="45" customFormat="false" ht="15" hidden="false" customHeight="false" outlineLevel="0" collapsed="false">
      <c r="B45" s="2" t="s">
        <v>568</v>
      </c>
      <c r="C45" s="2" t="s">
        <v>569</v>
      </c>
      <c r="D45" s="16" t="n">
        <f aca="false">D44/D43-1</f>
        <v>0.109132691056911</v>
      </c>
    </row>
    <row r="46" customFormat="false" ht="15" hidden="false" customHeight="false" outlineLevel="0" collapsed="false">
      <c r="B46" s="2" t="s">
        <v>570</v>
      </c>
      <c r="D46" s="48" t="n">
        <f aca="false">D44/4</f>
        <v>68211.6605</v>
      </c>
      <c r="E46" s="16" t="n">
        <f aca="false">D46/P5-1</f>
        <v>0.109132691056911</v>
      </c>
    </row>
    <row r="47" customFormat="false" ht="15" hidden="false" customHeight="false" outlineLevel="0" collapsed="false">
      <c r="B47" s="4" t="s">
        <v>571</v>
      </c>
      <c r="D47" s="21" t="n">
        <f aca="false">P9</f>
        <v>0.8595</v>
      </c>
    </row>
    <row r="48" customFormat="false" ht="15" hidden="false" customHeight="false" outlineLevel="0" collapsed="false">
      <c r="B48" s="4" t="s">
        <v>572</v>
      </c>
      <c r="D48" s="64" t="n">
        <f aca="false">DRE!$I$9</f>
        <v>0.868065076600796</v>
      </c>
    </row>
    <row r="49" customFormat="false" ht="15" hidden="false" customHeight="false" outlineLevel="0" collapsed="false">
      <c r="B49" s="4" t="s">
        <v>573</v>
      </c>
      <c r="D49" s="53" t="n">
        <f aca="false">4*P14</f>
        <v>152.6</v>
      </c>
    </row>
    <row r="50" customFormat="false" ht="15" hidden="false" customHeight="false" outlineLevel="0" collapsed="false">
      <c r="B50" s="4" t="s">
        <v>574</v>
      </c>
      <c r="D50" s="61" t="n">
        <f aca="false">DRE!$I$39</f>
        <v>175.755078550814</v>
      </c>
    </row>
    <row r="51" customFormat="false" ht="15" hidden="false" customHeight="false" outlineLevel="0" collapsed="false">
      <c r="B51" s="4" t="s">
        <v>575</v>
      </c>
      <c r="D51" s="18" t="n">
        <f aca="false">Premissas!$I$207</f>
        <v>275010</v>
      </c>
    </row>
    <row r="52" customFormat="false" ht="15" hidden="false" customHeight="false" outlineLevel="0" collapsed="false">
      <c r="B52" s="2" t="s">
        <v>576</v>
      </c>
      <c r="D52" s="16" t="n">
        <f aca="false">D44/D51-1</f>
        <v>-0.00786647031017052</v>
      </c>
    </row>
    <row r="53" customFormat="false" ht="15" hidden="false" customHeight="false" outlineLevel="0" collapsed="false">
      <c r="B53" s="4" t="s">
        <v>577</v>
      </c>
      <c r="D53" s="61" t="n">
        <f aca="false">Premissas!$I$208</f>
        <v>176.15</v>
      </c>
    </row>
    <row r="54" customFormat="false" ht="15" hidden="false" customHeight="false" outlineLevel="0" collapsed="false">
      <c r="B54" s="2" t="s">
        <v>576</v>
      </c>
      <c r="D54" s="16" t="n">
        <f aca="false">D50/D53-1</f>
        <v>-0.00224196110806751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3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17" min="4" style="0" width="9.5"/>
    <col collapsed="false" customWidth="true" hidden="false" outlineLevel="0" max="21" min="19" style="0" width="12"/>
  </cols>
  <sheetData>
    <row r="1" customFormat="false" ht="15" hidden="false" customHeight="false" outlineLevel="0" collapsed="false">
      <c r="B1" s="1" t="s">
        <v>578</v>
      </c>
    </row>
    <row r="2" customFormat="false" ht="15" hidden="false" customHeight="false" outlineLevel="0" collapsed="false">
      <c r="B2" s="2" t="s">
        <v>579</v>
      </c>
    </row>
    <row r="4" customFormat="false" ht="15" hidden="false" customHeight="false" outlineLevel="0" collapsed="false">
      <c r="B4" s="12" t="s">
        <v>16</v>
      </c>
      <c r="C4" s="13"/>
      <c r="D4" s="14" t="s">
        <v>580</v>
      </c>
      <c r="E4" s="14" t="s">
        <v>581</v>
      </c>
      <c r="F4" s="14" t="s">
        <v>582</v>
      </c>
      <c r="G4" s="14" t="s">
        <v>583</v>
      </c>
      <c r="H4" s="14" t="s">
        <v>584</v>
      </c>
      <c r="I4" s="14" t="s">
        <v>585</v>
      </c>
      <c r="J4" s="14" t="s">
        <v>586</v>
      </c>
      <c r="K4" s="14" t="s">
        <v>587</v>
      </c>
      <c r="L4" s="14" t="s">
        <v>588</v>
      </c>
      <c r="M4" s="14" t="s">
        <v>65</v>
      </c>
      <c r="N4" s="14" t="s">
        <v>66</v>
      </c>
      <c r="O4" s="14" t="s">
        <v>17</v>
      </c>
      <c r="P4" s="14" t="s">
        <v>18</v>
      </c>
      <c r="Q4" s="14" t="s">
        <v>19</v>
      </c>
      <c r="S4" s="14" t="s">
        <v>589</v>
      </c>
      <c r="T4" s="14" t="s">
        <v>590</v>
      </c>
      <c r="U4" s="14" t="s">
        <v>591</v>
      </c>
    </row>
    <row r="5" customFormat="false" ht="15" hidden="false" customHeight="false" outlineLevel="0" collapsed="false">
      <c r="B5" s="7" t="s">
        <v>23</v>
      </c>
      <c r="D5" s="32" t="n">
        <v>9073</v>
      </c>
      <c r="E5" s="32" t="n">
        <v>16358</v>
      </c>
      <c r="F5" s="32" t="n">
        <v>16192</v>
      </c>
      <c r="G5" s="32" t="n">
        <v>12399</v>
      </c>
      <c r="H5" s="32" t="n">
        <v>20322</v>
      </c>
      <c r="I5" s="32" t="n">
        <v>30391</v>
      </c>
      <c r="J5" s="32" t="n">
        <v>23406</v>
      </c>
      <c r="K5" s="32" t="n">
        <v>21435</v>
      </c>
      <c r="L5" s="32" t="n">
        <v>27705</v>
      </c>
      <c r="M5" s="32" t="n">
        <v>30758</v>
      </c>
      <c r="N5" s="32" t="n">
        <v>15540</v>
      </c>
      <c r="O5" s="32" t="n">
        <v>25111</v>
      </c>
      <c r="P5" s="32" t="n">
        <v>37378</v>
      </c>
      <c r="Q5" s="32" t="n">
        <v>133188</v>
      </c>
      <c r="S5" s="47" t="n">
        <f aca="false">AVERAGE(D5:P5)</f>
        <v>22005.2307692308</v>
      </c>
      <c r="T5" s="47" t="n">
        <f aca="false">MEDIAN(D5:P5)</f>
        <v>21435</v>
      </c>
      <c r="U5" s="47" t="n">
        <f aca="false">AVERAGE(D5:H5,J5:L5,N5:P5)</f>
        <v>20447.1818181818</v>
      </c>
    </row>
    <row r="6" customFormat="false" ht="15" hidden="false" customHeight="false" outlineLevel="0" collapsed="false">
      <c r="B6" s="2" t="s">
        <v>24</v>
      </c>
      <c r="E6" s="16" t="n">
        <f aca="false">E5/D5-1</f>
        <v>0.802931775597928</v>
      </c>
      <c r="F6" s="16" t="n">
        <f aca="false">F5/E5-1</f>
        <v>-0.010147939845947</v>
      </c>
      <c r="G6" s="16" t="n">
        <f aca="false">G5/F5-1</f>
        <v>-0.234251482213439</v>
      </c>
      <c r="H6" s="16" t="n">
        <f aca="false">H5/G5-1</f>
        <v>0.639003145414953</v>
      </c>
      <c r="I6" s="16" t="n">
        <f aca="false">I5/H5-1</f>
        <v>0.495472886526917</v>
      </c>
      <c r="J6" s="16" t="n">
        <f aca="false">J5/I5-1</f>
        <v>-0.229837780921983</v>
      </c>
      <c r="K6" s="16" t="n">
        <f aca="false">K5/J5-1</f>
        <v>-0.0842091771340682</v>
      </c>
      <c r="L6" s="16" t="n">
        <f aca="false">L5/K5-1</f>
        <v>0.292512246326102</v>
      </c>
      <c r="M6" s="16" t="n">
        <f aca="false">M5/L5-1</f>
        <v>0.110196715394333</v>
      </c>
      <c r="N6" s="16" t="n">
        <f aca="false">N5/M5-1</f>
        <v>-0.494765589440146</v>
      </c>
      <c r="O6" s="16" t="n">
        <f aca="false">O5/N5-1</f>
        <v>0.615894465894466</v>
      </c>
      <c r="P6" s="16" t="n">
        <f aca="false">P5/O5-1</f>
        <v>0.488511011110669</v>
      </c>
      <c r="Q6" s="16" t="n">
        <f aca="false">Q5/P5-1</f>
        <v>2.56327251324308</v>
      </c>
    </row>
    <row r="7" customFormat="false" ht="15" hidden="false" customHeight="false" outlineLevel="0" collapsed="false">
      <c r="B7" s="4" t="s">
        <v>374</v>
      </c>
      <c r="D7" s="32" t="n">
        <v>1847</v>
      </c>
      <c r="E7" s="32" t="n">
        <v>5437</v>
      </c>
      <c r="F7" s="32" t="n">
        <v>5215</v>
      </c>
      <c r="G7" s="32" t="n">
        <v>2505</v>
      </c>
      <c r="H7" s="32" t="n">
        <v>8436</v>
      </c>
      <c r="I7" s="32" t="n">
        <v>17891</v>
      </c>
      <c r="J7" s="32" t="n">
        <v>10702</v>
      </c>
      <c r="K7" s="32" t="n">
        <v>6552</v>
      </c>
      <c r="L7" s="32" t="n">
        <v>10423</v>
      </c>
      <c r="M7" s="32" t="n">
        <v>13898</v>
      </c>
      <c r="N7" s="32" t="n">
        <v>-1416</v>
      </c>
      <c r="O7" s="32" t="n">
        <v>5613</v>
      </c>
      <c r="P7" s="32" t="n">
        <v>14873</v>
      </c>
      <c r="Q7" s="32" t="n">
        <v>107504</v>
      </c>
    </row>
    <row r="8" customFormat="false" ht="15" hidden="false" customHeight="false" outlineLevel="0" collapsed="false">
      <c r="B8" s="7" t="s">
        <v>25</v>
      </c>
      <c r="D8" s="29" t="n">
        <f aca="false">D7/D5</f>
        <v>0.20357103493883</v>
      </c>
      <c r="E8" s="29" t="n">
        <f aca="false">E7/E5</f>
        <v>0.332375596038636</v>
      </c>
      <c r="F8" s="29" t="n">
        <f aca="false">F7/F5</f>
        <v>0.322072628458498</v>
      </c>
      <c r="G8" s="29" t="n">
        <f aca="false">G7/G5</f>
        <v>0.202032421969514</v>
      </c>
      <c r="H8" s="29" t="n">
        <f aca="false">H7/H5</f>
        <v>0.415116622379687</v>
      </c>
      <c r="I8" s="29" t="n">
        <f aca="false">I7/I5</f>
        <v>0.588694021256293</v>
      </c>
      <c r="J8" s="29" t="n">
        <f aca="false">J7/J5</f>
        <v>0.457233188071435</v>
      </c>
      <c r="K8" s="29" t="n">
        <f aca="false">K7/K5</f>
        <v>0.305668299510147</v>
      </c>
      <c r="L8" s="29" t="n">
        <f aca="false">L7/L5</f>
        <v>0.376213679841184</v>
      </c>
      <c r="M8" s="29" t="n">
        <f aca="false">M7/M5</f>
        <v>0.451849925222706</v>
      </c>
      <c r="N8" s="29" t="n">
        <f aca="false">N7/N5</f>
        <v>-0.0911196911196911</v>
      </c>
      <c r="O8" s="29" t="n">
        <f aca="false">O7/O5</f>
        <v>0.223527537732468</v>
      </c>
      <c r="P8" s="29" t="n">
        <f aca="false">P7/P5</f>
        <v>0.397907860238643</v>
      </c>
      <c r="Q8" s="29" t="n">
        <f aca="false">Q7/Q5</f>
        <v>0.807159804186563</v>
      </c>
      <c r="S8" s="42" t="n">
        <f aca="false">AVERAGE(D8:P8)</f>
        <v>0.32193408650295</v>
      </c>
      <c r="T8" s="42" t="n">
        <f aca="false">MEDIAN(D8:P8)</f>
        <v>0.332375596038636</v>
      </c>
      <c r="U8" s="42" t="n">
        <f aca="false">AVERAGE(D8:H8,J8:L8,N8:P8)</f>
        <v>0.28587265255085</v>
      </c>
    </row>
    <row r="9" customFormat="false" ht="15" hidden="false" customHeight="false" outlineLevel="0" collapsed="false">
      <c r="B9" s="4" t="s">
        <v>28</v>
      </c>
      <c r="D9" s="32" t="n">
        <v>236</v>
      </c>
      <c r="E9" s="32" t="n">
        <v>3087</v>
      </c>
      <c r="F9" s="32" t="n">
        <v>2998</v>
      </c>
      <c r="G9" s="32" t="n">
        <v>168</v>
      </c>
      <c r="H9" s="32" t="n">
        <v>5868</v>
      </c>
      <c r="I9" s="32" t="n">
        <v>14994</v>
      </c>
      <c r="J9" s="32" t="n">
        <v>7376</v>
      </c>
      <c r="K9" s="32" t="n">
        <v>3003</v>
      </c>
      <c r="L9" s="32" t="n">
        <v>6283</v>
      </c>
      <c r="M9" s="32" t="n">
        <v>9702</v>
      </c>
      <c r="N9" s="32" t="n">
        <v>-5745</v>
      </c>
      <c r="O9" s="32" t="n">
        <v>1304</v>
      </c>
      <c r="P9" s="32" t="n">
        <v>9770</v>
      </c>
      <c r="Q9" s="32" t="n">
        <v>99340</v>
      </c>
    </row>
    <row r="10" customFormat="false" ht="15" hidden="false" customHeight="false" outlineLevel="0" collapsed="false">
      <c r="B10" s="7" t="s">
        <v>592</v>
      </c>
      <c r="D10" s="29" t="n">
        <f aca="false">D9/D5</f>
        <v>0.0260112421470297</v>
      </c>
      <c r="E10" s="29" t="n">
        <f aca="false">E9/E5</f>
        <v>0.188715001833965</v>
      </c>
      <c r="F10" s="29" t="n">
        <f aca="false">F9/F5</f>
        <v>0.185153162055336</v>
      </c>
      <c r="G10" s="29" t="n">
        <f aca="false">G9/G5</f>
        <v>0.0135494797967578</v>
      </c>
      <c r="H10" s="29" t="n">
        <f aca="false">H9/H5</f>
        <v>0.288751107174491</v>
      </c>
      <c r="I10" s="29" t="n">
        <f aca="false">I9/I5</f>
        <v>0.493369747622651</v>
      </c>
      <c r="J10" s="29" t="n">
        <f aca="false">J9/J5</f>
        <v>0.315132871913185</v>
      </c>
      <c r="K10" s="29" t="n">
        <f aca="false">K9/K5</f>
        <v>0.140097970608817</v>
      </c>
      <c r="L10" s="29" t="n">
        <f aca="false">L9/L5</f>
        <v>0.226782169283523</v>
      </c>
      <c r="M10" s="29" t="n">
        <f aca="false">M9/M5</f>
        <v>0.315430131998179</v>
      </c>
      <c r="N10" s="29" t="n">
        <f aca="false">N9/N5</f>
        <v>-0.36969111969112</v>
      </c>
      <c r="O10" s="29" t="n">
        <f aca="false">O9/O5</f>
        <v>0.0519294333160766</v>
      </c>
      <c r="P10" s="29" t="n">
        <f aca="false">P9/P5</f>
        <v>0.261383701642678</v>
      </c>
      <c r="Q10" s="29" t="n">
        <f aca="false">Q9/Q5</f>
        <v>0.745862990659819</v>
      </c>
      <c r="S10" s="42" t="n">
        <f aca="false">AVERAGE(D10:P10)</f>
        <v>0.164354992284736</v>
      </c>
      <c r="T10" s="42" t="n">
        <f aca="false">MEDIAN(D10:P10)</f>
        <v>0.188715001833965</v>
      </c>
      <c r="U10" s="42" t="n">
        <f aca="false">AVERAGE(D10:H10,J10:L10,N10:P10)</f>
        <v>0.120710456370976</v>
      </c>
    </row>
    <row r="11" customFormat="false" ht="15" hidden="false" customHeight="false" outlineLevel="0" collapsed="false">
      <c r="B11" s="4" t="s">
        <v>29</v>
      </c>
      <c r="D11" s="32" t="n">
        <v>1190</v>
      </c>
      <c r="E11" s="32" t="n">
        <v>3045</v>
      </c>
      <c r="F11" s="32" t="n">
        <v>2899</v>
      </c>
      <c r="G11" s="32" t="n">
        <v>-276</v>
      </c>
      <c r="H11" s="32" t="n">
        <v>5089</v>
      </c>
      <c r="I11" s="32" t="n">
        <v>14135</v>
      </c>
      <c r="J11" s="32" t="n">
        <v>6313</v>
      </c>
      <c r="K11" s="32" t="n">
        <v>2687</v>
      </c>
      <c r="L11" s="32" t="n">
        <v>5861</v>
      </c>
      <c r="M11" s="32" t="n">
        <v>8687</v>
      </c>
      <c r="N11" s="32" t="n">
        <v>-5833</v>
      </c>
      <c r="O11" s="32" t="n">
        <v>778</v>
      </c>
      <c r="P11" s="32" t="n">
        <v>8539</v>
      </c>
      <c r="Q11" s="32" t="n">
        <v>84969</v>
      </c>
      <c r="S11" s="47" t="n">
        <f aca="false">AVERAGE(D11:P11)</f>
        <v>4085.69230769231</v>
      </c>
      <c r="T11" s="47" t="n">
        <f aca="false">MEDIAN(D11:P11)</f>
        <v>3045</v>
      </c>
      <c r="U11" s="47" t="n">
        <f aca="false">AVERAGE(D11:H11,J11:L11,N11:P11)</f>
        <v>2753.81818181818</v>
      </c>
    </row>
    <row r="12" customFormat="false" ht="15" hidden="false" customHeight="false" outlineLevel="0" collapsed="false">
      <c r="B12" s="2" t="s">
        <v>209</v>
      </c>
      <c r="D12" s="16" t="n">
        <f aca="false">D11/D5</f>
        <v>0.131158382012565</v>
      </c>
      <c r="E12" s="16" t="n">
        <f aca="false">E11/E5</f>
        <v>0.186147450788605</v>
      </c>
      <c r="F12" s="16" t="n">
        <f aca="false">F11/F5</f>
        <v>0.179039031620553</v>
      </c>
      <c r="G12" s="16" t="n">
        <f aca="false">G11/G5</f>
        <v>-0.0222598596661021</v>
      </c>
      <c r="H12" s="16" t="n">
        <f aca="false">H11/H5</f>
        <v>0.250418265918709</v>
      </c>
      <c r="I12" s="16" t="n">
        <f aca="false">I11/I5</f>
        <v>0.465104800763384</v>
      </c>
      <c r="J12" s="16" t="n">
        <f aca="false">J11/J5</f>
        <v>0.269717166538494</v>
      </c>
      <c r="K12" s="16" t="n">
        <f aca="false">K11/K5</f>
        <v>0.125355726615349</v>
      </c>
      <c r="L12" s="16" t="n">
        <f aca="false">L11/L5</f>
        <v>0.211550261685616</v>
      </c>
      <c r="M12" s="16" t="n">
        <f aca="false">M11/M5</f>
        <v>0.282430587164315</v>
      </c>
      <c r="N12" s="16" t="n">
        <f aca="false">N11/N5</f>
        <v>-0.375353925353925</v>
      </c>
      <c r="O12" s="16" t="n">
        <f aca="false">O11/O5</f>
        <v>0.0309824379753893</v>
      </c>
      <c r="P12" s="16" t="n">
        <f aca="false">P11/P5</f>
        <v>0.228449890309808</v>
      </c>
      <c r="Q12" s="16" t="n">
        <f aca="false">Q11/Q5</f>
        <v>0.637962879538697</v>
      </c>
      <c r="S12" s="42" t="n">
        <f aca="false">AVERAGE(D12:P12)</f>
        <v>0.150980016644058</v>
      </c>
      <c r="T12" s="42" t="n">
        <f aca="false">MEDIAN(D12:P12)</f>
        <v>0.186147450788605</v>
      </c>
      <c r="U12" s="42" t="n">
        <f aca="false">AVERAGE(D12:H12,J12:L12,N12:P12)</f>
        <v>0.110473166222278</v>
      </c>
    </row>
    <row r="13" customFormat="false" ht="15" hidden="false" customHeight="false" outlineLevel="0" collapsed="false">
      <c r="B13" s="4" t="s">
        <v>593</v>
      </c>
      <c r="D13" s="32" t="n">
        <v>1244</v>
      </c>
      <c r="E13" s="32" t="n">
        <v>2658</v>
      </c>
      <c r="F13" s="32" t="n">
        <v>4021</v>
      </c>
      <c r="G13" s="32" t="n">
        <v>5817</v>
      </c>
      <c r="H13" s="32" t="n">
        <v>4734</v>
      </c>
      <c r="I13" s="32" t="n">
        <v>8879</v>
      </c>
      <c r="J13" s="32" t="n">
        <v>9780</v>
      </c>
      <c r="K13" s="32" t="n">
        <v>8223</v>
      </c>
      <c r="L13" s="32" t="n">
        <v>10030</v>
      </c>
      <c r="M13" s="32" t="n">
        <v>12067</v>
      </c>
      <c r="N13" s="32" t="n">
        <v>7676</v>
      </c>
      <c r="O13" s="32" t="n">
        <v>8386</v>
      </c>
      <c r="P13" s="32" t="n">
        <v>15857</v>
      </c>
      <c r="Q13" s="32" t="n">
        <v>30712</v>
      </c>
      <c r="S13" s="47" t="n">
        <f aca="false">AVERAGE(D13:P13)</f>
        <v>7644</v>
      </c>
      <c r="T13" s="47" t="n">
        <f aca="false">MEDIAN(D13:P13)</f>
        <v>8223</v>
      </c>
      <c r="U13" s="47" t="n">
        <f aca="false">AVERAGE(D13:H13,J13:L13,N13:P13)</f>
        <v>7129.63636363636</v>
      </c>
    </row>
    <row r="14" customFormat="false" ht="15" hidden="false" customHeight="false" outlineLevel="0" collapsed="false">
      <c r="B14" s="7" t="s">
        <v>304</v>
      </c>
      <c r="D14" s="29" t="n">
        <f aca="false">D13/D5</f>
        <v>0.137110106910614</v>
      </c>
      <c r="E14" s="29" t="n">
        <f aca="false">E13/E5</f>
        <v>0.162489301870644</v>
      </c>
      <c r="F14" s="29" t="n">
        <f aca="false">F13/F5</f>
        <v>0.248332509881423</v>
      </c>
      <c r="G14" s="29" t="n">
        <f aca="false">G13/G5</f>
        <v>0.469150737962739</v>
      </c>
      <c r="H14" s="29" t="n">
        <f aca="false">H13/H5</f>
        <v>0.232949512843224</v>
      </c>
      <c r="I14" s="29" t="n">
        <f aca="false">I13/I5</f>
        <v>0.29215886282123</v>
      </c>
      <c r="J14" s="29" t="n">
        <f aca="false">J13/J5</f>
        <v>0.417841579082287</v>
      </c>
      <c r="K14" s="29" t="n">
        <f aca="false">K13/K5</f>
        <v>0.383624912526242</v>
      </c>
      <c r="L14" s="29" t="n">
        <f aca="false">L13/L5</f>
        <v>0.362028514708536</v>
      </c>
      <c r="M14" s="29" t="n">
        <f aca="false">M13/M5</f>
        <v>0.392320697054425</v>
      </c>
      <c r="N14" s="29" t="n">
        <f aca="false">N13/N5</f>
        <v>0.493951093951094</v>
      </c>
      <c r="O14" s="29" t="n">
        <f aca="false">O13/O5</f>
        <v>0.333957229899247</v>
      </c>
      <c r="P14" s="29" t="n">
        <f aca="false">P13/P5</f>
        <v>0.424233506340628</v>
      </c>
      <c r="Q14" s="29" t="n">
        <f aca="false">Q13/Q5</f>
        <v>0.230591344565576</v>
      </c>
      <c r="S14" s="42" t="n">
        <f aca="false">AVERAGE(D14:P14)</f>
        <v>0.334626812757872</v>
      </c>
      <c r="T14" s="42" t="n">
        <f aca="false">MEDIAN(D14:P14)</f>
        <v>0.362028514708536</v>
      </c>
      <c r="U14" s="42" t="n">
        <f aca="false">AVERAGE(D14:H14,J14:L14,N14:P14)</f>
        <v>0.333242636906971</v>
      </c>
    </row>
    <row r="15" customFormat="false" ht="15" hidden="false" customHeight="false" outlineLevel="0" collapsed="false">
      <c r="B15" s="4" t="s">
        <v>265</v>
      </c>
      <c r="D15" s="32" t="n">
        <v>1811</v>
      </c>
      <c r="E15" s="32" t="n">
        <v>5699</v>
      </c>
      <c r="F15" s="32" t="n">
        <v>5208</v>
      </c>
      <c r="G15" s="32" t="n">
        <v>3168</v>
      </c>
      <c r="H15" s="32" t="n">
        <v>8153</v>
      </c>
      <c r="I15" s="32" t="n">
        <v>17400</v>
      </c>
      <c r="J15" s="32" t="n">
        <v>13189</v>
      </c>
      <c r="K15" s="32" t="n">
        <v>8306</v>
      </c>
      <c r="L15" s="32" t="n">
        <v>12470</v>
      </c>
      <c r="M15" s="32" t="n">
        <v>15181</v>
      </c>
      <c r="N15" s="32" t="n">
        <v>1559</v>
      </c>
      <c r="O15" s="32" t="n">
        <v>8507</v>
      </c>
      <c r="P15" s="32" t="n">
        <v>17525</v>
      </c>
      <c r="Q15" s="32" t="n">
        <v>89675</v>
      </c>
      <c r="S15" s="47" t="n">
        <f aca="false">AVERAGE(D15:P15)</f>
        <v>9090.46153846154</v>
      </c>
      <c r="T15" s="47" t="n">
        <f aca="false">MEDIAN(D15:P15)</f>
        <v>8306</v>
      </c>
      <c r="U15" s="47" t="n">
        <f aca="false">AVERAGE(D15:H15,J15:L15,N15:P15)</f>
        <v>7781.36363636364</v>
      </c>
    </row>
    <row r="16" customFormat="false" ht="15" hidden="false" customHeight="false" outlineLevel="0" collapsed="false">
      <c r="B16" s="4" t="s">
        <v>594</v>
      </c>
      <c r="D16" s="47" t="n">
        <f aca="false">D15-D13</f>
        <v>567</v>
      </c>
      <c r="E16" s="47" t="n">
        <f aca="false">E15-E13</f>
        <v>3041</v>
      </c>
      <c r="F16" s="47" t="n">
        <f aca="false">F15-F13</f>
        <v>1187</v>
      </c>
      <c r="G16" s="47" t="n">
        <f aca="false">G15-G13</f>
        <v>-2649</v>
      </c>
      <c r="H16" s="47" t="n">
        <f aca="false">H15-H13</f>
        <v>3419</v>
      </c>
      <c r="I16" s="47" t="n">
        <f aca="false">I15-I13</f>
        <v>8521</v>
      </c>
      <c r="J16" s="47" t="n">
        <f aca="false">J15-J13</f>
        <v>3409</v>
      </c>
      <c r="K16" s="47" t="n">
        <f aca="false">K15-K13</f>
        <v>83</v>
      </c>
      <c r="L16" s="47" t="n">
        <f aca="false">L15-L13</f>
        <v>2440</v>
      </c>
      <c r="M16" s="47" t="n">
        <f aca="false">M15-M13</f>
        <v>3114</v>
      </c>
      <c r="N16" s="47" t="n">
        <f aca="false">N15-N13</f>
        <v>-6117</v>
      </c>
      <c r="O16" s="47" t="n">
        <f aca="false">O15-O13</f>
        <v>121</v>
      </c>
      <c r="P16" s="47" t="n">
        <f aca="false">P15-P13</f>
        <v>1668</v>
      </c>
      <c r="Q16" s="47" t="n">
        <f aca="false">Q15-Q13</f>
        <v>58963</v>
      </c>
      <c r="S16" s="47" t="n">
        <f aca="false">AVERAGE(D16:P16)</f>
        <v>1446.46153846154</v>
      </c>
      <c r="T16" s="47" t="n">
        <f aca="false">MEDIAN(D16:P16)</f>
        <v>1668</v>
      </c>
      <c r="U16" s="47" t="n">
        <f aca="false">AVERAGE(D16:H16,J16:L16,N16:P16)</f>
        <v>651.727272727273</v>
      </c>
    </row>
    <row r="17" customFormat="false" ht="15" hidden="false" customHeight="false" outlineLevel="0" collapsed="false">
      <c r="B17" s="2" t="s">
        <v>595</v>
      </c>
      <c r="D17" s="28" t="n">
        <v>0.481</v>
      </c>
      <c r="E17" s="28" t="n">
        <v>0.682</v>
      </c>
      <c r="F17" s="28" t="n">
        <v>0.64</v>
      </c>
      <c r="G17" s="28" t="n">
        <v>0.581</v>
      </c>
      <c r="H17" s="28" t="n">
        <v>0.638</v>
      </c>
      <c r="I17" s="28" t="n">
        <v>0.699</v>
      </c>
      <c r="J17" s="28" t="n">
        <v>0.65</v>
      </c>
      <c r="K17" s="28" t="n">
        <v>0.677</v>
      </c>
      <c r="L17" s="28" t="n">
        <v>0.723</v>
      </c>
      <c r="M17" s="28" t="n">
        <v>0.728</v>
      </c>
      <c r="N17" s="28" t="n">
        <v>0.706</v>
      </c>
      <c r="O17" s="28" t="n">
        <v>0.701</v>
      </c>
      <c r="P17" s="28" t="n">
        <v>0.765</v>
      </c>
      <c r="Q17" s="28" t="n">
        <v>0.756</v>
      </c>
    </row>
    <row r="18" customFormat="false" ht="15" hidden="false" customHeight="false" outlineLevel="0" collapsed="false">
      <c r="B18" s="2" t="s">
        <v>596</v>
      </c>
      <c r="D18" s="50"/>
      <c r="E18" s="50"/>
      <c r="F18" s="50" t="s">
        <v>597</v>
      </c>
      <c r="G18" s="50"/>
      <c r="H18" s="50"/>
      <c r="I18" s="50"/>
      <c r="J18" s="50" t="s">
        <v>172</v>
      </c>
      <c r="K18" s="50" t="s">
        <v>597</v>
      </c>
      <c r="L18" s="50" t="s">
        <v>172</v>
      </c>
      <c r="M18" s="50"/>
      <c r="N18" s="50"/>
      <c r="O18" s="50" t="s">
        <v>172</v>
      </c>
      <c r="P18" s="50"/>
      <c r="Q18" s="50" t="s">
        <v>598</v>
      </c>
      <c r="U18" s="50" t="s">
        <v>599</v>
      </c>
    </row>
    <row r="20" customFormat="false" ht="15" hidden="false" customHeight="false" outlineLevel="0" collapsed="false">
      <c r="B20" s="3" t="s">
        <v>600</v>
      </c>
    </row>
    <row r="21" customFormat="false" ht="15" hidden="false" customHeight="false" outlineLevel="0" collapsed="false">
      <c r="B21" s="4" t="s">
        <v>601</v>
      </c>
    </row>
    <row r="22" customFormat="false" ht="15" hidden="false" customHeight="false" outlineLevel="0" collapsed="false">
      <c r="B22" s="4" t="s">
        <v>602</v>
      </c>
    </row>
    <row r="23" customFormat="false" ht="15" hidden="false" customHeight="false" outlineLevel="0" collapsed="false">
      <c r="B23" s="4" t="s">
        <v>603</v>
      </c>
    </row>
    <row r="24" customFormat="false" ht="15" hidden="false" customHeight="false" outlineLevel="0" collapsed="false">
      <c r="B24" s="4" t="s">
        <v>604</v>
      </c>
    </row>
    <row r="25" customFormat="false" ht="15" hidden="false" customHeight="false" outlineLevel="0" collapsed="false">
      <c r="B25" s="4" t="s">
        <v>605</v>
      </c>
    </row>
    <row r="26" customFormat="false" ht="15" hidden="false" customHeight="false" outlineLevel="0" collapsed="false">
      <c r="B26" s="4" t="s">
        <v>606</v>
      </c>
    </row>
    <row r="27" customFormat="false" ht="15" hidden="false" customHeight="false" outlineLevel="0" collapsed="false">
      <c r="B27" s="4" t="s">
        <v>607</v>
      </c>
    </row>
    <row r="28" customFormat="false" ht="15" hidden="false" customHeight="false" outlineLevel="0" collapsed="false">
      <c r="B28" s="4" t="s">
        <v>608</v>
      </c>
    </row>
    <row r="29" customFormat="false" ht="15" hidden="false" customHeight="false" outlineLevel="0" collapsed="false">
      <c r="B29" s="4" t="s">
        <v>609</v>
      </c>
    </row>
    <row r="30" customFormat="false" ht="15" hidden="false" customHeight="false" outlineLevel="0" collapsed="false">
      <c r="B30" s="4" t="s">
        <v>610</v>
      </c>
    </row>
    <row r="31" customFormat="false" ht="15" hidden="false" customHeight="false" outlineLevel="0" collapsed="false">
      <c r="B31" s="4" t="s">
        <v>611</v>
      </c>
    </row>
    <row r="32" customFormat="false" ht="15" hidden="false" customHeight="false" outlineLevel="0" collapsed="false">
      <c r="B32" s="4" t="s">
        <v>612</v>
      </c>
    </row>
    <row r="33" customFormat="false" ht="15" hidden="false" customHeight="false" outlineLevel="0" collapsed="false">
      <c r="B33" s="4" t="s">
        <v>613</v>
      </c>
    </row>
    <row r="34" customFormat="false" ht="15" hidden="false" customHeight="false" outlineLevel="0" collapsed="false">
      <c r="B34" s="4" t="s">
        <v>614</v>
      </c>
    </row>
    <row r="36" customFormat="false" ht="15" hidden="false" customHeight="false" outlineLevel="0" collapsed="false">
      <c r="B36" s="2" t="s">
        <v>615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9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9"/>
  </cols>
  <sheetData>
    <row r="1" customFormat="false" ht="15" hidden="false" customHeight="false" outlineLevel="0" collapsed="false">
      <c r="B1" s="1" t="s">
        <v>616</v>
      </c>
    </row>
    <row r="2" customFormat="false" ht="15" hidden="false" customHeight="false" outlineLevel="0" collapsed="false">
      <c r="B2" s="2" t="s">
        <v>617</v>
      </c>
    </row>
    <row r="4" customFormat="false" ht="15" hidden="false" customHeight="false" outlineLevel="0" collapsed="false">
      <c r="B4" s="3" t="s">
        <v>618</v>
      </c>
    </row>
    <row r="5" customFormat="false" ht="15" hidden="false" customHeight="false" outlineLevel="0" collapsed="false">
      <c r="B5" s="4" t="s">
        <v>619</v>
      </c>
    </row>
    <row r="7" customFormat="false" ht="15" hidden="false" customHeight="false" outlineLevel="0" collapsed="false">
      <c r="B7" s="3" t="s">
        <v>620</v>
      </c>
    </row>
    <row r="8" customFormat="false" ht="15" hidden="false" customHeight="false" outlineLevel="0" collapsed="false">
      <c r="B8" s="51" t="s">
        <v>621</v>
      </c>
    </row>
    <row r="9" customFormat="false" ht="15" hidden="false" customHeight="false" outlineLevel="0" collapsed="false">
      <c r="B9" s="4" t="s">
        <v>622</v>
      </c>
    </row>
    <row r="10" customFormat="false" ht="15" hidden="false" customHeight="false" outlineLevel="0" collapsed="false">
      <c r="B10" s="80" t="s">
        <v>623</v>
      </c>
    </row>
    <row r="11" customFormat="false" ht="15" hidden="false" customHeight="false" outlineLevel="0" collapsed="false">
      <c r="B11" s="2" t="s">
        <v>624</v>
      </c>
    </row>
    <row r="12" customFormat="false" ht="15" hidden="false" customHeight="false" outlineLevel="0" collapsed="false">
      <c r="B12" s="81" t="s">
        <v>625</v>
      </c>
    </row>
    <row r="14" customFormat="false" ht="15" hidden="false" customHeight="false" outlineLevel="0" collapsed="false">
      <c r="B14" s="3" t="s">
        <v>626</v>
      </c>
    </row>
    <row r="15" customFormat="false" ht="15" hidden="false" customHeight="false" outlineLevel="0" collapsed="false">
      <c r="B15" s="4" t="s">
        <v>627</v>
      </c>
    </row>
    <row r="17" customFormat="false" ht="15" hidden="false" customHeight="false" outlineLevel="0" collapsed="false">
      <c r="B17" s="7" t="s">
        <v>628</v>
      </c>
    </row>
    <row r="18" customFormat="false" ht="15" hidden="false" customHeight="false" outlineLevel="0" collapsed="false">
      <c r="B18" s="4" t="s">
        <v>629</v>
      </c>
    </row>
    <row r="19" customFormat="false" ht="15" hidden="false" customHeight="false" outlineLevel="0" collapsed="false">
      <c r="B19" s="4" t="s">
        <v>630</v>
      </c>
    </row>
    <row r="20" customFormat="false" ht="15" hidden="false" customHeight="false" outlineLevel="0" collapsed="false">
      <c r="B20" s="4" t="s">
        <v>631</v>
      </c>
    </row>
    <row r="21" customFormat="false" ht="15" hidden="false" customHeight="false" outlineLevel="0" collapsed="false">
      <c r="B21" s="4" t="s">
        <v>632</v>
      </c>
    </row>
    <row r="22" customFormat="false" ht="15" hidden="false" customHeight="false" outlineLevel="0" collapsed="false">
      <c r="B22" s="4" t="s">
        <v>633</v>
      </c>
    </row>
    <row r="24" customFormat="false" ht="15" hidden="false" customHeight="false" outlineLevel="0" collapsed="false">
      <c r="B24" s="7" t="s">
        <v>634</v>
      </c>
    </row>
    <row r="25" customFormat="false" ht="15" hidden="false" customHeight="false" outlineLevel="0" collapsed="false">
      <c r="B25" s="4" t="s">
        <v>635</v>
      </c>
    </row>
    <row r="26" customFormat="false" ht="15" hidden="false" customHeight="false" outlineLevel="0" collapsed="false">
      <c r="B26" s="4" t="s">
        <v>636</v>
      </c>
    </row>
    <row r="27" customFormat="false" ht="15" hidden="false" customHeight="false" outlineLevel="0" collapsed="false">
      <c r="B27" s="4" t="s">
        <v>637</v>
      </c>
    </row>
    <row r="28" customFormat="false" ht="15" hidden="false" customHeight="false" outlineLevel="0" collapsed="false">
      <c r="B28" s="4" t="s">
        <v>638</v>
      </c>
    </row>
    <row r="30" customFormat="false" ht="15" hidden="false" customHeight="false" outlineLevel="0" collapsed="false">
      <c r="B30" s="7" t="s">
        <v>639</v>
      </c>
    </row>
    <row r="31" customFormat="false" ht="15" hidden="false" customHeight="false" outlineLevel="0" collapsed="false">
      <c r="B31" s="82" t="s">
        <v>640</v>
      </c>
    </row>
    <row r="32" customFormat="false" ht="15" hidden="false" customHeight="false" outlineLevel="0" collapsed="false">
      <c r="B32" s="4" t="s">
        <v>641</v>
      </c>
    </row>
    <row r="33" customFormat="false" ht="15" hidden="false" customHeight="false" outlineLevel="0" collapsed="false">
      <c r="B33" s="4" t="s">
        <v>642</v>
      </c>
    </row>
    <row r="34" customFormat="false" ht="15" hidden="false" customHeight="false" outlineLevel="0" collapsed="false">
      <c r="B34" s="4" t="s">
        <v>643</v>
      </c>
    </row>
    <row r="35" customFormat="false" ht="15" hidden="false" customHeight="false" outlineLevel="0" collapsed="false">
      <c r="B35" s="4" t="s">
        <v>644</v>
      </c>
    </row>
    <row r="36" customFormat="false" ht="15" hidden="false" customHeight="false" outlineLevel="0" collapsed="false">
      <c r="B36" s="4" t="s">
        <v>645</v>
      </c>
    </row>
    <row r="37" customFormat="false" ht="15" hidden="false" customHeight="false" outlineLevel="0" collapsed="false">
      <c r="B37" s="82" t="s">
        <v>47</v>
      </c>
    </row>
    <row r="38" customFormat="false" ht="15" hidden="false" customHeight="false" outlineLevel="0" collapsed="false">
      <c r="B38" s="4" t="s">
        <v>646</v>
      </c>
    </row>
    <row r="39" customFormat="false" ht="15" hidden="false" customHeight="false" outlineLevel="0" collapsed="false">
      <c r="B39" s="82" t="s">
        <v>48</v>
      </c>
    </row>
    <row r="40" customFormat="false" ht="15" hidden="false" customHeight="false" outlineLevel="0" collapsed="false">
      <c r="B40" s="4" t="s">
        <v>647</v>
      </c>
    </row>
    <row r="42" customFormat="false" ht="15" hidden="false" customHeight="false" outlineLevel="0" collapsed="false">
      <c r="B42" s="7" t="s">
        <v>648</v>
      </c>
    </row>
    <row r="43" customFormat="false" ht="15" hidden="false" customHeight="false" outlineLevel="0" collapsed="false">
      <c r="B43" s="4" t="s">
        <v>649</v>
      </c>
    </row>
    <row r="44" customFormat="false" ht="15" hidden="false" customHeight="false" outlineLevel="0" collapsed="false">
      <c r="B44" s="4" t="s">
        <v>650</v>
      </c>
    </row>
    <row r="46" customFormat="false" ht="15" hidden="false" customHeight="false" outlineLevel="0" collapsed="false">
      <c r="B46" s="7" t="s">
        <v>651</v>
      </c>
    </row>
    <row r="47" customFormat="false" ht="15" hidden="false" customHeight="false" outlineLevel="0" collapsed="false">
      <c r="B47" s="4" t="s">
        <v>652</v>
      </c>
    </row>
    <row r="48" customFormat="false" ht="15" hidden="false" customHeight="false" outlineLevel="0" collapsed="false">
      <c r="B48" s="4" t="s">
        <v>653</v>
      </c>
    </row>
    <row r="49" customFormat="false" ht="15" hidden="false" customHeight="false" outlineLevel="0" collapsed="false">
      <c r="B49" s="4" t="s">
        <v>654</v>
      </c>
    </row>
    <row r="50" customFormat="false" ht="15" hidden="false" customHeight="false" outlineLevel="0" collapsed="false">
      <c r="B50" s="4" t="s">
        <v>655</v>
      </c>
    </row>
    <row r="51" customFormat="false" ht="15" hidden="false" customHeight="false" outlineLevel="0" collapsed="false">
      <c r="B51" s="4" t="s">
        <v>656</v>
      </c>
    </row>
    <row r="52" customFormat="false" ht="15" hidden="false" customHeight="false" outlineLevel="0" collapsed="false">
      <c r="B52" s="4" t="s">
        <v>657</v>
      </c>
    </row>
    <row r="53" customFormat="false" ht="15" hidden="false" customHeight="false" outlineLevel="0" collapsed="false">
      <c r="B53" s="4" t="s">
        <v>658</v>
      </c>
    </row>
    <row r="54" customFormat="false" ht="15" hidden="false" customHeight="false" outlineLevel="0" collapsed="false">
      <c r="B54" s="4" t="s">
        <v>659</v>
      </c>
    </row>
    <row r="55" customFormat="false" ht="15" hidden="false" customHeight="false" outlineLevel="0" collapsed="false">
      <c r="B55" s="4" t="s">
        <v>660</v>
      </c>
    </row>
    <row r="56" customFormat="false" ht="15" hidden="false" customHeight="false" outlineLevel="0" collapsed="false">
      <c r="B56" s="4" t="s">
        <v>661</v>
      </c>
    </row>
    <row r="58" customFormat="false" ht="15" hidden="false" customHeight="false" outlineLevel="0" collapsed="false">
      <c r="B58" s="3" t="s">
        <v>662</v>
      </c>
    </row>
    <row r="59" customFormat="false" ht="15" hidden="false" customHeight="false" outlineLevel="0" collapsed="false">
      <c r="B59" s="4" t="s">
        <v>663</v>
      </c>
    </row>
    <row r="60" customFormat="false" ht="15" hidden="false" customHeight="false" outlineLevel="0" collapsed="false">
      <c r="B60" s="4" t="s">
        <v>664</v>
      </c>
    </row>
    <row r="61" customFormat="false" ht="15" hidden="false" customHeight="false" outlineLevel="0" collapsed="false">
      <c r="B61" s="4" t="s">
        <v>665</v>
      </c>
    </row>
    <row r="62" customFormat="false" ht="15" hidden="false" customHeight="false" outlineLevel="0" collapsed="false">
      <c r="B62" s="4" t="s">
        <v>666</v>
      </c>
    </row>
    <row r="63" customFormat="false" ht="15" hidden="false" customHeight="false" outlineLevel="0" collapsed="false">
      <c r="B63" s="4" t="s">
        <v>667</v>
      </c>
    </row>
    <row r="64" customFormat="false" ht="15" hidden="false" customHeight="false" outlineLevel="0" collapsed="false">
      <c r="B64" s="4" t="s">
        <v>668</v>
      </c>
    </row>
    <row r="65" customFormat="false" ht="15" hidden="false" customHeight="false" outlineLevel="0" collapsed="false">
      <c r="B65" s="4" t="s">
        <v>669</v>
      </c>
    </row>
    <row r="66" customFormat="false" ht="15" hidden="false" customHeight="false" outlineLevel="0" collapsed="false">
      <c r="B66" s="4" t="s">
        <v>670</v>
      </c>
    </row>
    <row r="67" customFormat="false" ht="15" hidden="false" customHeight="false" outlineLevel="0" collapsed="false">
      <c r="B67" s="4" t="s">
        <v>671</v>
      </c>
    </row>
    <row r="68" customFormat="false" ht="15" hidden="false" customHeight="false" outlineLevel="0" collapsed="false">
      <c r="B68" s="4" t="s">
        <v>672</v>
      </c>
    </row>
    <row r="69" customFormat="false" ht="15" hidden="false" customHeight="false" outlineLevel="0" collapsed="false">
      <c r="B69" s="4" t="s">
        <v>673</v>
      </c>
    </row>
    <row r="70" customFormat="false" ht="15" hidden="false" customHeight="false" outlineLevel="0" collapsed="false">
      <c r="B70" s="4" t="s">
        <v>674</v>
      </c>
    </row>
    <row r="71" customFormat="false" ht="15" hidden="false" customHeight="false" outlineLevel="0" collapsed="false">
      <c r="B71" s="4" t="s">
        <v>675</v>
      </c>
    </row>
    <row r="72" customFormat="false" ht="15" hidden="false" customHeight="false" outlineLevel="0" collapsed="false">
      <c r="B72" s="4" t="s">
        <v>676</v>
      </c>
    </row>
    <row r="73" customFormat="false" ht="15" hidden="false" customHeight="false" outlineLevel="0" collapsed="false">
      <c r="B73" s="4" t="s">
        <v>677</v>
      </c>
    </row>
    <row r="74" customFormat="false" ht="15" hidden="false" customHeight="false" outlineLevel="0" collapsed="false">
      <c r="B74" s="4" t="s">
        <v>678</v>
      </c>
    </row>
    <row r="75" customFormat="false" ht="15" hidden="false" customHeight="false" outlineLevel="0" collapsed="false">
      <c r="B75" s="4" t="s">
        <v>679</v>
      </c>
    </row>
    <row r="76" customFormat="false" ht="15" hidden="false" customHeight="false" outlineLevel="0" collapsed="false">
      <c r="B76" s="4" t="s">
        <v>680</v>
      </c>
    </row>
    <row r="77" customFormat="false" ht="15" hidden="false" customHeight="false" outlineLevel="0" collapsed="false">
      <c r="B77" s="4" t="s">
        <v>681</v>
      </c>
    </row>
    <row r="78" customFormat="false" ht="15" hidden="false" customHeight="false" outlineLevel="0" collapsed="false">
      <c r="B78" s="4" t="s">
        <v>682</v>
      </c>
    </row>
    <row r="79" customFormat="false" ht="15" hidden="false" customHeight="false" outlineLevel="0" collapsed="false">
      <c r="B79" s="4" t="s">
        <v>683</v>
      </c>
    </row>
    <row r="81" customFormat="false" ht="15" hidden="false" customHeight="false" outlineLevel="0" collapsed="false">
      <c r="B81" s="3" t="s">
        <v>684</v>
      </c>
    </row>
    <row r="82" customFormat="false" ht="15" hidden="false" customHeight="false" outlineLevel="0" collapsed="false">
      <c r="B82" s="4" t="s">
        <v>685</v>
      </c>
    </row>
    <row r="83" customFormat="false" ht="15" hidden="false" customHeight="false" outlineLevel="0" collapsed="false">
      <c r="B83" s="4" t="s">
        <v>686</v>
      </c>
    </row>
    <row r="84" customFormat="false" ht="15" hidden="false" customHeight="false" outlineLevel="0" collapsed="false">
      <c r="B84" s="4" t="s">
        <v>687</v>
      </c>
    </row>
    <row r="85" customFormat="false" ht="15" hidden="false" customHeight="false" outlineLevel="0" collapsed="false">
      <c r="B85" s="4" t="s">
        <v>688</v>
      </c>
    </row>
    <row r="86" customFormat="false" ht="15" hidden="false" customHeight="false" outlineLevel="0" collapsed="false">
      <c r="B86" s="4" t="s">
        <v>689</v>
      </c>
    </row>
    <row r="87" customFormat="false" ht="15" hidden="false" customHeight="false" outlineLevel="0" collapsed="false">
      <c r="B87" s="4" t="s">
        <v>690</v>
      </c>
    </row>
    <row r="88" customFormat="false" ht="15" hidden="false" customHeight="false" outlineLevel="0" collapsed="false">
      <c r="B88" s="4" t="s">
        <v>691</v>
      </c>
    </row>
    <row r="89" customFormat="false" ht="15" hidden="false" customHeight="false" outlineLevel="0" collapsed="false">
      <c r="B89" s="4" t="s">
        <v>692</v>
      </c>
    </row>
    <row r="90" customFormat="false" ht="15" hidden="false" customHeight="false" outlineLevel="0" collapsed="false">
      <c r="B90" s="4" t="s">
        <v>693</v>
      </c>
    </row>
    <row r="91" customFormat="false" ht="15" hidden="false" customHeight="false" outlineLevel="0" collapsed="false">
      <c r="B91" s="4" t="s">
        <v>694</v>
      </c>
    </row>
    <row r="92" customFormat="false" ht="15" hidden="false" customHeight="false" outlineLevel="0" collapsed="false">
      <c r="B92" s="4" t="s">
        <v>695</v>
      </c>
    </row>
    <row r="93" customFormat="false" ht="15" hidden="false" customHeight="false" outlineLevel="0" collapsed="false">
      <c r="B93" s="4" t="s">
        <v>696</v>
      </c>
    </row>
    <row r="95" customFormat="false" ht="15" hidden="false" customHeight="false" outlineLevel="0" collapsed="false">
      <c r="B95" s="3" t="s">
        <v>697</v>
      </c>
    </row>
    <row r="96" customFormat="false" ht="15" hidden="false" customHeight="false" outlineLevel="0" collapsed="false">
      <c r="B96" s="7" t="s">
        <v>698</v>
      </c>
    </row>
    <row r="97" customFormat="false" ht="15" hidden="false" customHeight="false" outlineLevel="0" collapsed="false">
      <c r="B97" s="2" t="s">
        <v>699</v>
      </c>
    </row>
    <row r="98" customFormat="false" ht="15" hidden="false" customHeight="false" outlineLevel="0" collapsed="false">
      <c r="B98" s="2" t="s">
        <v>700</v>
      </c>
    </row>
    <row r="99" customFormat="false" ht="15" hidden="false" customHeight="false" outlineLevel="0" collapsed="false">
      <c r="B99" s="2" t="s">
        <v>701</v>
      </c>
    </row>
    <row r="100" customFormat="false" ht="15" hidden="false" customHeight="false" outlineLevel="0" collapsed="false">
      <c r="B100" s="2" t="s">
        <v>702</v>
      </c>
    </row>
    <row r="101" customFormat="false" ht="15" hidden="false" customHeight="false" outlineLevel="0" collapsed="false">
      <c r="B101" s="2" t="s">
        <v>703</v>
      </c>
    </row>
    <row r="102" customFormat="false" ht="15" hidden="false" customHeight="false" outlineLevel="0" collapsed="false">
      <c r="B102" s="2" t="s">
        <v>704</v>
      </c>
    </row>
    <row r="103" customFormat="false" ht="15" hidden="false" customHeight="false" outlineLevel="0" collapsed="false">
      <c r="B103" s="2" t="s">
        <v>705</v>
      </c>
    </row>
    <row r="104" customFormat="false" ht="15" hidden="false" customHeight="false" outlineLevel="0" collapsed="false">
      <c r="B104" s="2" t="s">
        <v>706</v>
      </c>
    </row>
    <row r="105" customFormat="false" ht="15" hidden="false" customHeight="false" outlineLevel="0" collapsed="false">
      <c r="B105" s="2" t="s">
        <v>707</v>
      </c>
    </row>
    <row r="106" customFormat="false" ht="15" hidden="false" customHeight="false" outlineLevel="0" collapsed="false">
      <c r="B106" s="2" t="s">
        <v>708</v>
      </c>
    </row>
    <row r="107" customFormat="false" ht="15" hidden="false" customHeight="false" outlineLevel="0" collapsed="false">
      <c r="B107" s="2" t="s">
        <v>709</v>
      </c>
    </row>
    <row r="108" customFormat="false" ht="15" hidden="false" customHeight="false" outlineLevel="0" collapsed="false">
      <c r="B108" s="2" t="s">
        <v>710</v>
      </c>
    </row>
    <row r="109" customFormat="false" ht="15" hidden="false" customHeight="false" outlineLevel="0" collapsed="false">
      <c r="B109" s="2" t="s">
        <v>711</v>
      </c>
    </row>
    <row r="110" customFormat="false" ht="15" hidden="false" customHeight="false" outlineLevel="0" collapsed="false">
      <c r="B110" s="2" t="s">
        <v>712</v>
      </c>
    </row>
    <row r="111" customFormat="false" ht="15" hidden="false" customHeight="false" outlineLevel="0" collapsed="false">
      <c r="B111" s="2" t="s">
        <v>713</v>
      </c>
    </row>
    <row r="112" customFormat="false" ht="15" hidden="false" customHeight="false" outlineLevel="0" collapsed="false">
      <c r="B112" s="2" t="s">
        <v>714</v>
      </c>
    </row>
    <row r="113" customFormat="false" ht="15" hidden="false" customHeight="false" outlineLevel="0" collapsed="false">
      <c r="B113" s="2" t="s">
        <v>715</v>
      </c>
    </row>
    <row r="114" customFormat="false" ht="15" hidden="false" customHeight="false" outlineLevel="0" collapsed="false">
      <c r="B114" s="2" t="s">
        <v>716</v>
      </c>
    </row>
    <row r="115" customFormat="false" ht="15" hidden="false" customHeight="false" outlineLevel="0" collapsed="false">
      <c r="B115" s="2" t="s">
        <v>717</v>
      </c>
    </row>
    <row r="116" customFormat="false" ht="15" hidden="false" customHeight="false" outlineLevel="0" collapsed="false">
      <c r="B116" s="2" t="s">
        <v>718</v>
      </c>
    </row>
    <row r="117" customFormat="false" ht="15" hidden="false" customHeight="false" outlineLevel="0" collapsed="false">
      <c r="B117" s="2" t="s">
        <v>719</v>
      </c>
    </row>
    <row r="118" customFormat="false" ht="15" hidden="false" customHeight="false" outlineLevel="0" collapsed="false">
      <c r="B118" s="2" t="s">
        <v>720</v>
      </c>
    </row>
    <row r="119" customFormat="false" ht="15" hidden="false" customHeight="false" outlineLevel="0" collapsed="false">
      <c r="B119" s="2" t="s">
        <v>721</v>
      </c>
    </row>
    <row r="120" customFormat="false" ht="15" hidden="false" customHeight="false" outlineLevel="0" collapsed="false">
      <c r="B120" s="2" t="s">
        <v>722</v>
      </c>
    </row>
    <row r="121" customFormat="false" ht="15" hidden="false" customHeight="false" outlineLevel="0" collapsed="false">
      <c r="B121" s="2" t="s">
        <v>723</v>
      </c>
    </row>
    <row r="122" customFormat="false" ht="15" hidden="false" customHeight="false" outlineLevel="0" collapsed="false">
      <c r="B122" s="2" t="s">
        <v>724</v>
      </c>
    </row>
    <row r="123" customFormat="false" ht="15" hidden="false" customHeight="false" outlineLevel="0" collapsed="false">
      <c r="B123" s="2" t="s">
        <v>725</v>
      </c>
    </row>
    <row r="124" customFormat="false" ht="15" hidden="false" customHeight="false" outlineLevel="0" collapsed="false">
      <c r="B124" s="2" t="s">
        <v>726</v>
      </c>
    </row>
    <row r="125" customFormat="false" ht="15" hidden="false" customHeight="false" outlineLevel="0" collapsed="false">
      <c r="B125" s="2" t="s">
        <v>727</v>
      </c>
    </row>
    <row r="126" customFormat="false" ht="15" hidden="false" customHeight="false" outlineLevel="0" collapsed="false">
      <c r="B126" s="2" t="s">
        <v>728</v>
      </c>
    </row>
    <row r="127" customFormat="false" ht="15" hidden="false" customHeight="false" outlineLevel="0" collapsed="false">
      <c r="B127" s="2" t="s">
        <v>729</v>
      </c>
    </row>
    <row r="128" customFormat="false" ht="15" hidden="false" customHeight="false" outlineLevel="0" collapsed="false">
      <c r="B128" s="2" t="s">
        <v>730</v>
      </c>
    </row>
    <row r="129" customFormat="false" ht="15" hidden="false" customHeight="false" outlineLevel="0" collapsed="false">
      <c r="B129" s="2" t="s">
        <v>731</v>
      </c>
    </row>
    <row r="130" customFormat="false" ht="15" hidden="false" customHeight="false" outlineLevel="0" collapsed="false">
      <c r="B130" s="2" t="s">
        <v>732</v>
      </c>
    </row>
    <row r="131" customFormat="false" ht="15" hidden="false" customHeight="false" outlineLevel="0" collapsed="false">
      <c r="B131" s="2" t="s">
        <v>733</v>
      </c>
    </row>
    <row r="132" customFormat="false" ht="15" hidden="false" customHeight="false" outlineLevel="0" collapsed="false">
      <c r="B132" s="2" t="s">
        <v>734</v>
      </c>
    </row>
    <row r="133" customFormat="false" ht="15" hidden="false" customHeight="false" outlineLevel="0" collapsed="false">
      <c r="B133" s="2" t="s">
        <v>735</v>
      </c>
    </row>
    <row r="135" customFormat="false" ht="15" hidden="false" customHeight="false" outlineLevel="0" collapsed="false">
      <c r="B135" s="7" t="s">
        <v>736</v>
      </c>
    </row>
    <row r="136" customFormat="false" ht="15" hidden="false" customHeight="false" outlineLevel="0" collapsed="false">
      <c r="B136" s="2" t="s">
        <v>737</v>
      </c>
    </row>
    <row r="137" customFormat="false" ht="15" hidden="false" customHeight="false" outlineLevel="0" collapsed="false">
      <c r="B137" s="2" t="s">
        <v>738</v>
      </c>
    </row>
    <row r="138" customFormat="false" ht="15" hidden="false" customHeight="false" outlineLevel="0" collapsed="false">
      <c r="B138" s="2" t="s">
        <v>739</v>
      </c>
    </row>
    <row r="139" customFormat="false" ht="15" hidden="false" customHeight="false" outlineLevel="0" collapsed="false">
      <c r="B139" s="2" t="s">
        <v>740</v>
      </c>
    </row>
    <row r="140" customFormat="false" ht="15" hidden="false" customHeight="false" outlineLevel="0" collapsed="false">
      <c r="B140" s="2" t="s">
        <v>741</v>
      </c>
    </row>
    <row r="141" customFormat="false" ht="15" hidden="false" customHeight="false" outlineLevel="0" collapsed="false">
      <c r="B141" s="2" t="s">
        <v>742</v>
      </c>
    </row>
    <row r="142" customFormat="false" ht="15" hidden="false" customHeight="false" outlineLevel="0" collapsed="false">
      <c r="B142" s="2" t="s">
        <v>743</v>
      </c>
    </row>
    <row r="143" customFormat="false" ht="15" hidden="false" customHeight="false" outlineLevel="0" collapsed="false">
      <c r="B143" s="2" t="s">
        <v>744</v>
      </c>
    </row>
    <row r="144" customFormat="false" ht="15" hidden="false" customHeight="false" outlineLevel="0" collapsed="false">
      <c r="B144" s="2" t="s">
        <v>745</v>
      </c>
    </row>
    <row r="145" customFormat="false" ht="15" hidden="false" customHeight="false" outlineLevel="0" collapsed="false">
      <c r="B145" s="2" t="s">
        <v>746</v>
      </c>
    </row>
    <row r="146" customFormat="false" ht="15" hidden="false" customHeight="false" outlineLevel="0" collapsed="false">
      <c r="B146" s="2" t="s">
        <v>747</v>
      </c>
    </row>
    <row r="147" customFormat="false" ht="15" hidden="false" customHeight="false" outlineLevel="0" collapsed="false">
      <c r="B147" s="2" t="s">
        <v>748</v>
      </c>
    </row>
    <row r="148" customFormat="false" ht="15" hidden="false" customHeight="false" outlineLevel="0" collapsed="false">
      <c r="B148" s="2" t="s">
        <v>749</v>
      </c>
    </row>
    <row r="149" customFormat="false" ht="15" hidden="false" customHeight="false" outlineLevel="0" collapsed="false">
      <c r="B149" s="2" t="s">
        <v>750</v>
      </c>
    </row>
    <row r="150" customFormat="false" ht="15" hidden="false" customHeight="false" outlineLevel="0" collapsed="false">
      <c r="B150" s="2" t="s">
        <v>751</v>
      </c>
    </row>
    <row r="151" customFormat="false" ht="15" hidden="false" customHeight="false" outlineLevel="0" collapsed="false">
      <c r="B151" s="2" t="s">
        <v>752</v>
      </c>
    </row>
    <row r="152" customFormat="false" ht="15" hidden="false" customHeight="false" outlineLevel="0" collapsed="false">
      <c r="B152" s="2" t="s">
        <v>753</v>
      </c>
    </row>
    <row r="153" customFormat="false" ht="15" hidden="false" customHeight="false" outlineLevel="0" collapsed="false">
      <c r="B153" s="2" t="s">
        <v>754</v>
      </c>
    </row>
    <row r="154" customFormat="false" ht="15" hidden="false" customHeight="false" outlineLevel="0" collapsed="false">
      <c r="B154" s="2" t="s">
        <v>755</v>
      </c>
    </row>
    <row r="155" customFormat="false" ht="15" hidden="false" customHeight="false" outlineLevel="0" collapsed="false">
      <c r="B155" s="2" t="s">
        <v>756</v>
      </c>
    </row>
    <row r="156" customFormat="false" ht="15" hidden="false" customHeight="false" outlineLevel="0" collapsed="false">
      <c r="B156" s="2" t="s">
        <v>757</v>
      </c>
    </row>
    <row r="157" customFormat="false" ht="15" hidden="false" customHeight="false" outlineLevel="0" collapsed="false">
      <c r="B157" s="2" t="s">
        <v>758</v>
      </c>
    </row>
    <row r="158" customFormat="false" ht="15" hidden="false" customHeight="false" outlineLevel="0" collapsed="false">
      <c r="B158" s="2" t="s">
        <v>759</v>
      </c>
    </row>
    <row r="159" customFormat="false" ht="15" hidden="false" customHeight="false" outlineLevel="0" collapsed="false">
      <c r="B159" s="2" t="s">
        <v>760</v>
      </c>
    </row>
    <row r="160" customFormat="false" ht="15" hidden="false" customHeight="false" outlineLevel="0" collapsed="false">
      <c r="B160" s="2" t="s">
        <v>761</v>
      </c>
    </row>
    <row r="161" customFormat="false" ht="15" hidden="false" customHeight="false" outlineLevel="0" collapsed="false">
      <c r="B161" s="2" t="s">
        <v>762</v>
      </c>
    </row>
    <row r="162" customFormat="false" ht="15" hidden="false" customHeight="false" outlineLevel="0" collapsed="false">
      <c r="B162" s="2" t="s">
        <v>763</v>
      </c>
    </row>
    <row r="163" customFormat="false" ht="15" hidden="false" customHeight="false" outlineLevel="0" collapsed="false">
      <c r="B163" s="2" t="s">
        <v>764</v>
      </c>
    </row>
    <row r="164" customFormat="false" ht="15" hidden="false" customHeight="false" outlineLevel="0" collapsed="false">
      <c r="B164" s="2" t="s">
        <v>765</v>
      </c>
    </row>
    <row r="165" customFormat="false" ht="15" hidden="false" customHeight="false" outlineLevel="0" collapsed="false">
      <c r="B165" s="2" t="s">
        <v>766</v>
      </c>
    </row>
    <row r="166" customFormat="false" ht="15" hidden="false" customHeight="false" outlineLevel="0" collapsed="false">
      <c r="B166" s="2" t="s">
        <v>767</v>
      </c>
    </row>
    <row r="167" customFormat="false" ht="15" hidden="false" customHeight="false" outlineLevel="0" collapsed="false">
      <c r="B167" s="2" t="s">
        <v>768</v>
      </c>
    </row>
    <row r="168" customFormat="false" ht="15" hidden="false" customHeight="false" outlineLevel="0" collapsed="false">
      <c r="B168" s="2" t="s">
        <v>769</v>
      </c>
    </row>
    <row r="169" customFormat="false" ht="15" hidden="false" customHeight="false" outlineLevel="0" collapsed="false">
      <c r="B169" s="2" t="s">
        <v>770</v>
      </c>
    </row>
    <row r="170" customFormat="false" ht="15" hidden="false" customHeight="false" outlineLevel="0" collapsed="false">
      <c r="B170" s="2" t="s">
        <v>771</v>
      </c>
    </row>
    <row r="171" customFormat="false" ht="15" hidden="false" customHeight="false" outlineLevel="0" collapsed="false">
      <c r="B171" s="2" t="s">
        <v>772</v>
      </c>
    </row>
    <row r="172" customFormat="false" ht="15" hidden="false" customHeight="false" outlineLevel="0" collapsed="false">
      <c r="B172" s="2" t="s">
        <v>773</v>
      </c>
    </row>
    <row r="173" customFormat="false" ht="15" hidden="false" customHeight="false" outlineLevel="0" collapsed="false">
      <c r="B173" s="2" t="s">
        <v>774</v>
      </c>
    </row>
    <row r="174" customFormat="false" ht="15" hidden="false" customHeight="false" outlineLevel="0" collapsed="false">
      <c r="B174" s="2" t="s">
        <v>775</v>
      </c>
    </row>
    <row r="175" customFormat="false" ht="15" hidden="false" customHeight="false" outlineLevel="0" collapsed="false">
      <c r="B175" s="2" t="s">
        <v>776</v>
      </c>
    </row>
    <row r="176" customFormat="false" ht="15" hidden="false" customHeight="false" outlineLevel="0" collapsed="false">
      <c r="B176" s="2" t="s">
        <v>777</v>
      </c>
    </row>
    <row r="177" customFormat="false" ht="15" hidden="false" customHeight="false" outlineLevel="0" collapsed="false">
      <c r="B177" s="2" t="s">
        <v>778</v>
      </c>
    </row>
    <row r="178" customFormat="false" ht="15" hidden="false" customHeight="false" outlineLevel="0" collapsed="false">
      <c r="B178" s="2" t="s">
        <v>779</v>
      </c>
    </row>
    <row r="179" customFormat="false" ht="15" hidden="false" customHeight="false" outlineLevel="0" collapsed="false">
      <c r="B179" s="2" t="s">
        <v>780</v>
      </c>
    </row>
    <row r="180" customFormat="false" ht="15" hidden="false" customHeight="false" outlineLevel="0" collapsed="false">
      <c r="B180" s="2" t="s">
        <v>781</v>
      </c>
    </row>
    <row r="181" customFormat="false" ht="15" hidden="false" customHeight="false" outlineLevel="0" collapsed="false">
      <c r="B181" s="2" t="s">
        <v>782</v>
      </c>
    </row>
    <row r="182" customFormat="false" ht="15" hidden="false" customHeight="false" outlineLevel="0" collapsed="false">
      <c r="B182" s="2" t="s">
        <v>783</v>
      </c>
    </row>
    <row r="183" customFormat="false" ht="15" hidden="false" customHeight="false" outlineLevel="0" collapsed="false">
      <c r="B183" s="2" t="s">
        <v>784</v>
      </c>
    </row>
    <row r="185" customFormat="false" ht="15" hidden="false" customHeight="false" outlineLevel="0" collapsed="false">
      <c r="B185" s="7" t="s">
        <v>785</v>
      </c>
    </row>
    <row r="187" customFormat="false" ht="15" hidden="false" customHeight="false" outlineLevel="0" collapsed="false">
      <c r="B187" s="7" t="s">
        <v>786</v>
      </c>
    </row>
    <row r="188" customFormat="false" ht="15" hidden="false" customHeight="false" outlineLevel="0" collapsed="false">
      <c r="B188" s="2" t="s">
        <v>787</v>
      </c>
    </row>
    <row r="189" customFormat="false" ht="15" hidden="false" customHeight="false" outlineLevel="0" collapsed="false">
      <c r="B189" s="2" t="s">
        <v>788</v>
      </c>
    </row>
    <row r="190" customFormat="false" ht="15" hidden="false" customHeight="false" outlineLevel="0" collapsed="false">
      <c r="B190" s="2" t="s">
        <v>789</v>
      </c>
    </row>
    <row r="191" customFormat="false" ht="15" hidden="false" customHeight="false" outlineLevel="0" collapsed="false">
      <c r="B191" s="2" t="s">
        <v>790</v>
      </c>
    </row>
    <row r="192" customFormat="false" ht="15" hidden="false" customHeight="false" outlineLevel="0" collapsed="false">
      <c r="B192" s="2" t="s">
        <v>791</v>
      </c>
    </row>
    <row r="193" customFormat="false" ht="15" hidden="false" customHeight="false" outlineLevel="0" collapsed="false">
      <c r="B193" s="2" t="s">
        <v>792</v>
      </c>
    </row>
    <row r="194" customFormat="false" ht="15" hidden="false" customHeight="false" outlineLevel="0" collapsed="false">
      <c r="B194" s="2" t="s">
        <v>793</v>
      </c>
    </row>
    <row r="195" customFormat="false" ht="15" hidden="false" customHeight="false" outlineLevel="0" collapsed="false">
      <c r="B195" s="2" t="s">
        <v>794</v>
      </c>
    </row>
    <row r="196" customFormat="false" ht="15" hidden="false" customHeight="false" outlineLevel="0" collapsed="false">
      <c r="B196" s="2" t="s">
        <v>795</v>
      </c>
    </row>
    <row r="197" customFormat="false" ht="15" hidden="false" customHeight="false" outlineLevel="0" collapsed="false">
      <c r="B197" s="2" t="s">
        <v>796</v>
      </c>
    </row>
    <row r="198" customFormat="false" ht="15" hidden="false" customHeight="false" outlineLevel="0" collapsed="false">
      <c r="B198" s="2" t="s">
        <v>797</v>
      </c>
    </row>
    <row r="199" customFormat="false" ht="15" hidden="false" customHeight="false" outlineLevel="0" collapsed="false">
      <c r="B199" s="2" t="s">
        <v>798</v>
      </c>
    </row>
    <row r="200" customFormat="false" ht="15" hidden="false" customHeight="false" outlineLevel="0" collapsed="false">
      <c r="B200" s="2" t="s">
        <v>799</v>
      </c>
    </row>
    <row r="201" customFormat="false" ht="15" hidden="false" customHeight="false" outlineLevel="0" collapsed="false">
      <c r="B201" s="2" t="s">
        <v>800</v>
      </c>
    </row>
    <row r="202" customFormat="false" ht="15" hidden="false" customHeight="false" outlineLevel="0" collapsed="false">
      <c r="B202" s="2" t="s">
        <v>801</v>
      </c>
    </row>
    <row r="203" customFormat="false" ht="15" hidden="false" customHeight="false" outlineLevel="0" collapsed="false">
      <c r="B203" s="2" t="s">
        <v>802</v>
      </c>
    </row>
    <row r="204" customFormat="false" ht="15" hidden="false" customHeight="false" outlineLevel="0" collapsed="false">
      <c r="B204" s="2" t="s">
        <v>803</v>
      </c>
    </row>
    <row r="205" customFormat="false" ht="15" hidden="false" customHeight="false" outlineLevel="0" collapsed="false">
      <c r="B205" s="2" t="s">
        <v>804</v>
      </c>
    </row>
    <row r="206" customFormat="false" ht="15" hidden="false" customHeight="false" outlineLevel="0" collapsed="false">
      <c r="B206" s="2" t="s">
        <v>805</v>
      </c>
    </row>
    <row r="207" customFormat="false" ht="15" hidden="false" customHeight="false" outlineLevel="0" collapsed="false">
      <c r="B207" s="2" t="s">
        <v>806</v>
      </c>
    </row>
    <row r="208" customFormat="false" ht="15" hidden="false" customHeight="false" outlineLevel="0" collapsed="false">
      <c r="B208" s="2" t="s">
        <v>807</v>
      </c>
    </row>
    <row r="209" customFormat="false" ht="15" hidden="false" customHeight="false" outlineLevel="0" collapsed="false">
      <c r="B209" s="2" t="s">
        <v>808</v>
      </c>
    </row>
    <row r="210" customFormat="false" ht="15" hidden="false" customHeight="false" outlineLevel="0" collapsed="false">
      <c r="B210" s="2" t="s">
        <v>809</v>
      </c>
    </row>
    <row r="211" customFormat="false" ht="15" hidden="false" customHeight="false" outlineLevel="0" collapsed="false">
      <c r="B211" s="2" t="s">
        <v>810</v>
      </c>
    </row>
    <row r="212" customFormat="false" ht="15" hidden="false" customHeight="false" outlineLevel="0" collapsed="false">
      <c r="B212" s="2" t="s">
        <v>811</v>
      </c>
    </row>
    <row r="213" customFormat="false" ht="15" hidden="false" customHeight="false" outlineLevel="0" collapsed="false">
      <c r="B213" s="2" t="s">
        <v>812</v>
      </c>
    </row>
    <row r="214" customFormat="false" ht="15" hidden="false" customHeight="false" outlineLevel="0" collapsed="false">
      <c r="B214" s="2" t="s">
        <v>813</v>
      </c>
    </row>
    <row r="215" customFormat="false" ht="15" hidden="false" customHeight="false" outlineLevel="0" collapsed="false">
      <c r="B215" s="2" t="s">
        <v>814</v>
      </c>
    </row>
    <row r="216" customFormat="false" ht="15" hidden="false" customHeight="false" outlineLevel="0" collapsed="false">
      <c r="B216" s="2" t="s">
        <v>815</v>
      </c>
    </row>
    <row r="217" customFormat="false" ht="15" hidden="false" customHeight="false" outlineLevel="0" collapsed="false">
      <c r="B217" s="2" t="s">
        <v>816</v>
      </c>
    </row>
    <row r="218" customFormat="false" ht="15" hidden="false" customHeight="false" outlineLevel="0" collapsed="false">
      <c r="B218" s="2" t="s">
        <v>817</v>
      </c>
    </row>
    <row r="219" customFormat="false" ht="15" hidden="false" customHeight="false" outlineLevel="0" collapsed="false">
      <c r="B219" s="2" t="s">
        <v>818</v>
      </c>
    </row>
    <row r="220" customFormat="false" ht="15" hidden="false" customHeight="false" outlineLevel="0" collapsed="false">
      <c r="B220" s="2" t="s">
        <v>819</v>
      </c>
    </row>
    <row r="221" customFormat="false" ht="15" hidden="false" customHeight="false" outlineLevel="0" collapsed="false">
      <c r="B221" s="2" t="s">
        <v>820</v>
      </c>
    </row>
    <row r="222" customFormat="false" ht="15" hidden="false" customHeight="false" outlineLevel="0" collapsed="false">
      <c r="B222" s="2" t="s">
        <v>821</v>
      </c>
    </row>
    <row r="223" customFormat="false" ht="15" hidden="false" customHeight="false" outlineLevel="0" collapsed="false">
      <c r="B223" s="2" t="s">
        <v>822</v>
      </c>
    </row>
    <row r="224" customFormat="false" ht="15" hidden="false" customHeight="false" outlineLevel="0" collapsed="false">
      <c r="B224" s="2" t="s">
        <v>823</v>
      </c>
    </row>
    <row r="225" customFormat="false" ht="15" hidden="false" customHeight="false" outlineLevel="0" collapsed="false">
      <c r="B225" s="2" t="s">
        <v>824</v>
      </c>
    </row>
    <row r="226" customFormat="false" ht="15" hidden="false" customHeight="false" outlineLevel="0" collapsed="false">
      <c r="B226" s="2" t="s">
        <v>825</v>
      </c>
    </row>
    <row r="227" customFormat="false" ht="15" hidden="false" customHeight="false" outlineLevel="0" collapsed="false">
      <c r="B227" s="2" t="s">
        <v>826</v>
      </c>
    </row>
    <row r="228" customFormat="false" ht="15" hidden="false" customHeight="false" outlineLevel="0" collapsed="false">
      <c r="B228" s="2" t="s">
        <v>827</v>
      </c>
    </row>
    <row r="229" customFormat="false" ht="15" hidden="false" customHeight="false" outlineLevel="0" collapsed="false">
      <c r="B229" s="2" t="s">
        <v>828</v>
      </c>
    </row>
    <row r="230" customFormat="false" ht="15" hidden="false" customHeight="false" outlineLevel="0" collapsed="false">
      <c r="B230" s="2" t="s">
        <v>829</v>
      </c>
    </row>
    <row r="231" customFormat="false" ht="15" hidden="false" customHeight="false" outlineLevel="0" collapsed="false">
      <c r="B231" s="2" t="s">
        <v>830</v>
      </c>
    </row>
    <row r="232" customFormat="false" ht="15" hidden="false" customHeight="false" outlineLevel="0" collapsed="false">
      <c r="B232" s="2" t="s">
        <v>831</v>
      </c>
    </row>
    <row r="233" customFormat="false" ht="15" hidden="false" customHeight="false" outlineLevel="0" collapsed="false">
      <c r="B233" s="2" t="s">
        <v>832</v>
      </c>
    </row>
    <row r="234" customFormat="false" ht="15" hidden="false" customHeight="false" outlineLevel="0" collapsed="false">
      <c r="B234" s="2" t="s">
        <v>833</v>
      </c>
    </row>
    <row r="235" customFormat="false" ht="15" hidden="false" customHeight="false" outlineLevel="0" collapsed="false">
      <c r="B235" s="2" t="s">
        <v>834</v>
      </c>
    </row>
    <row r="236" customFormat="false" ht="15" hidden="false" customHeight="false" outlineLevel="0" collapsed="false">
      <c r="B236" s="2" t="s">
        <v>835</v>
      </c>
    </row>
    <row r="237" customFormat="false" ht="15" hidden="false" customHeight="false" outlineLevel="0" collapsed="false">
      <c r="B237" s="2" t="s">
        <v>836</v>
      </c>
    </row>
    <row r="238" customFormat="false" ht="15" hidden="false" customHeight="false" outlineLevel="0" collapsed="false">
      <c r="B238" s="2" t="s">
        <v>837</v>
      </c>
    </row>
    <row r="239" customFormat="false" ht="15" hidden="false" customHeight="false" outlineLevel="0" collapsed="false">
      <c r="B239" s="2" t="s">
        <v>838</v>
      </c>
    </row>
    <row r="240" customFormat="false" ht="15" hidden="false" customHeight="false" outlineLevel="0" collapsed="false">
      <c r="B240" s="2" t="s">
        <v>839</v>
      </c>
    </row>
    <row r="241" customFormat="false" ht="15" hidden="false" customHeight="false" outlineLevel="0" collapsed="false">
      <c r="B241" s="2" t="s">
        <v>840</v>
      </c>
    </row>
    <row r="242" customFormat="false" ht="15" hidden="false" customHeight="false" outlineLevel="0" collapsed="false">
      <c r="B242" s="2" t="s">
        <v>841</v>
      </c>
    </row>
    <row r="243" customFormat="false" ht="15" hidden="false" customHeight="false" outlineLevel="0" collapsed="false">
      <c r="B243" s="2" t="s">
        <v>842</v>
      </c>
    </row>
    <row r="244" customFormat="false" ht="15" hidden="false" customHeight="false" outlineLevel="0" collapsed="false">
      <c r="B244" s="2" t="s">
        <v>843</v>
      </c>
    </row>
    <row r="245" customFormat="false" ht="15" hidden="false" customHeight="false" outlineLevel="0" collapsed="false">
      <c r="B245" s="2" t="s">
        <v>844</v>
      </c>
    </row>
    <row r="246" customFormat="false" ht="15" hidden="false" customHeight="false" outlineLevel="0" collapsed="false">
      <c r="B246" s="2" t="s">
        <v>845</v>
      </c>
    </row>
    <row r="247" customFormat="false" ht="15" hidden="false" customHeight="false" outlineLevel="0" collapsed="false">
      <c r="B247" s="2" t="s">
        <v>846</v>
      </c>
    </row>
    <row r="248" customFormat="false" ht="15" hidden="false" customHeight="false" outlineLevel="0" collapsed="false">
      <c r="B248" s="2" t="s">
        <v>847</v>
      </c>
    </row>
    <row r="249" customFormat="false" ht="15" hidden="false" customHeight="false" outlineLevel="0" collapsed="false">
      <c r="B249" s="2" t="s">
        <v>848</v>
      </c>
    </row>
    <row r="250" customFormat="false" ht="15" hidden="false" customHeight="false" outlineLevel="0" collapsed="false">
      <c r="B250" s="2" t="s">
        <v>849</v>
      </c>
    </row>
    <row r="251" customFormat="false" ht="15" hidden="false" customHeight="false" outlineLevel="0" collapsed="false">
      <c r="B251" s="2" t="s">
        <v>850</v>
      </c>
    </row>
    <row r="252" customFormat="false" ht="15" hidden="false" customHeight="false" outlineLevel="0" collapsed="false">
      <c r="B252" s="2" t="s">
        <v>851</v>
      </c>
    </row>
    <row r="253" customFormat="false" ht="15" hidden="false" customHeight="false" outlineLevel="0" collapsed="false">
      <c r="B253" s="2" t="s">
        <v>852</v>
      </c>
    </row>
    <row r="254" customFormat="false" ht="15" hidden="false" customHeight="false" outlineLevel="0" collapsed="false">
      <c r="B254" s="2" t="s">
        <v>853</v>
      </c>
    </row>
    <row r="255" customFormat="false" ht="15" hidden="false" customHeight="false" outlineLevel="0" collapsed="false">
      <c r="B255" s="2" t="s">
        <v>854</v>
      </c>
    </row>
    <row r="256" customFormat="false" ht="15" hidden="false" customHeight="false" outlineLevel="0" collapsed="false">
      <c r="B256" s="2" t="s">
        <v>855</v>
      </c>
    </row>
    <row r="257" customFormat="false" ht="15" hidden="false" customHeight="false" outlineLevel="0" collapsed="false">
      <c r="B257" s="2" t="s">
        <v>856</v>
      </c>
    </row>
    <row r="258" customFormat="false" ht="15" hidden="false" customHeight="false" outlineLevel="0" collapsed="false">
      <c r="B258" s="2" t="s">
        <v>857</v>
      </c>
    </row>
    <row r="259" customFormat="false" ht="15" hidden="false" customHeight="false" outlineLevel="0" collapsed="false">
      <c r="B259" s="2" t="s">
        <v>858</v>
      </c>
    </row>
    <row r="260" customFormat="false" ht="15" hidden="false" customHeight="false" outlineLevel="0" collapsed="false">
      <c r="B260" s="2" t="s">
        <v>859</v>
      </c>
    </row>
    <row r="261" customFormat="false" ht="15" hidden="false" customHeight="false" outlineLevel="0" collapsed="false">
      <c r="B261" s="2" t="s">
        <v>860</v>
      </c>
    </row>
    <row r="262" customFormat="false" ht="15" hidden="false" customHeight="false" outlineLevel="0" collapsed="false">
      <c r="B262" s="2" t="s">
        <v>861</v>
      </c>
    </row>
    <row r="263" customFormat="false" ht="15" hidden="false" customHeight="false" outlineLevel="0" collapsed="false">
      <c r="B263" s="2" t="s">
        <v>862</v>
      </c>
    </row>
    <row r="264" customFormat="false" ht="15" hidden="false" customHeight="false" outlineLevel="0" collapsed="false">
      <c r="B264" s="2" t="s">
        <v>863</v>
      </c>
    </row>
    <row r="265" customFormat="false" ht="15" hidden="false" customHeight="false" outlineLevel="0" collapsed="false">
      <c r="B265" s="2" t="s">
        <v>864</v>
      </c>
    </row>
    <row r="266" customFormat="false" ht="15" hidden="false" customHeight="false" outlineLevel="0" collapsed="false">
      <c r="B266" s="2" t="s">
        <v>865</v>
      </c>
    </row>
    <row r="267" customFormat="false" ht="15" hidden="false" customHeight="false" outlineLevel="0" collapsed="false">
      <c r="B267" s="2" t="s">
        <v>866</v>
      </c>
    </row>
    <row r="268" customFormat="false" ht="15" hidden="false" customHeight="false" outlineLevel="0" collapsed="false">
      <c r="B268" s="2" t="s">
        <v>867</v>
      </c>
    </row>
    <row r="269" customFormat="false" ht="15" hidden="false" customHeight="false" outlineLevel="0" collapsed="false">
      <c r="B269" s="2" t="s">
        <v>868</v>
      </c>
    </row>
    <row r="270" customFormat="false" ht="15" hidden="false" customHeight="false" outlineLevel="0" collapsed="false">
      <c r="B270" s="2" t="s">
        <v>869</v>
      </c>
    </row>
    <row r="271" customFormat="false" ht="15" hidden="false" customHeight="false" outlineLevel="0" collapsed="false">
      <c r="B271" s="2" t="s">
        <v>870</v>
      </c>
    </row>
    <row r="272" customFormat="false" ht="15" hidden="false" customHeight="false" outlineLevel="0" collapsed="false">
      <c r="B272" s="2" t="s">
        <v>871</v>
      </c>
    </row>
    <row r="273" customFormat="false" ht="15" hidden="false" customHeight="false" outlineLevel="0" collapsed="false">
      <c r="B273" s="2" t="s">
        <v>872</v>
      </c>
    </row>
    <row r="274" customFormat="false" ht="15" hidden="false" customHeight="false" outlineLevel="0" collapsed="false">
      <c r="B274" s="2" t="s">
        <v>873</v>
      </c>
    </row>
    <row r="275" customFormat="false" ht="15" hidden="false" customHeight="false" outlineLevel="0" collapsed="false">
      <c r="B275" s="2" t="s">
        <v>874</v>
      </c>
    </row>
    <row r="276" customFormat="false" ht="15" hidden="false" customHeight="false" outlineLevel="0" collapsed="false">
      <c r="B276" s="2" t="s">
        <v>875</v>
      </c>
    </row>
    <row r="277" customFormat="false" ht="15" hidden="false" customHeight="false" outlineLevel="0" collapsed="false">
      <c r="B277" s="2" t="s">
        <v>876</v>
      </c>
    </row>
    <row r="278" customFormat="false" ht="15" hidden="false" customHeight="false" outlineLevel="0" collapsed="false">
      <c r="B278" s="2" t="s">
        <v>877</v>
      </c>
    </row>
    <row r="279" customFormat="false" ht="15" hidden="false" customHeight="false" outlineLevel="0" collapsed="false">
      <c r="B279" s="2" t="s">
        <v>878</v>
      </c>
    </row>
    <row r="280" customFormat="false" ht="15" hidden="false" customHeight="false" outlineLevel="0" collapsed="false">
      <c r="B280" s="2" t="s">
        <v>879</v>
      </c>
    </row>
    <row r="281" customFormat="false" ht="15" hidden="false" customHeight="false" outlineLevel="0" collapsed="false">
      <c r="B281" s="2" t="s">
        <v>880</v>
      </c>
    </row>
    <row r="282" customFormat="false" ht="15" hidden="false" customHeight="false" outlineLevel="0" collapsed="false">
      <c r="B282" s="2" t="s">
        <v>881</v>
      </c>
    </row>
    <row r="283" customFormat="false" ht="15" hidden="false" customHeight="false" outlineLevel="0" collapsed="false">
      <c r="B283" s="2" t="s">
        <v>882</v>
      </c>
    </row>
    <row r="284" customFormat="false" ht="15" hidden="false" customHeight="false" outlineLevel="0" collapsed="false">
      <c r="B284" s="2" t="s">
        <v>883</v>
      </c>
    </row>
    <row r="285" customFormat="false" ht="15" hidden="false" customHeight="false" outlineLevel="0" collapsed="false">
      <c r="B285" s="2" t="s">
        <v>884</v>
      </c>
    </row>
    <row r="286" customFormat="false" ht="15" hidden="false" customHeight="false" outlineLevel="0" collapsed="false">
      <c r="B286" s="2" t="s">
        <v>885</v>
      </c>
    </row>
    <row r="287" customFormat="false" ht="15" hidden="false" customHeight="false" outlineLevel="0" collapsed="false">
      <c r="B287" s="2" t="s">
        <v>886</v>
      </c>
    </row>
    <row r="288" customFormat="false" ht="15" hidden="false" customHeight="false" outlineLevel="0" collapsed="false">
      <c r="B288" s="2" t="s">
        <v>887</v>
      </c>
    </row>
    <row r="289" customFormat="false" ht="15" hidden="false" customHeight="false" outlineLevel="0" collapsed="false">
      <c r="B289" s="2" t="s">
        <v>888</v>
      </c>
    </row>
    <row r="290" customFormat="false" ht="15" hidden="false" customHeight="false" outlineLevel="0" collapsed="false">
      <c r="B290" s="2" t="s">
        <v>889</v>
      </c>
    </row>
    <row r="291" customFormat="false" ht="15" hidden="false" customHeight="false" outlineLevel="0" collapsed="false">
      <c r="B291" s="2" t="s">
        <v>890</v>
      </c>
    </row>
    <row r="292" customFormat="false" ht="15" hidden="false" customHeight="false" outlineLevel="0" collapsed="false">
      <c r="B292" s="2" t="s">
        <v>891</v>
      </c>
    </row>
    <row r="293" customFormat="false" ht="15" hidden="false" customHeight="false" outlineLevel="0" collapsed="false">
      <c r="B293" s="2" t="s">
        <v>892</v>
      </c>
    </row>
    <row r="294" customFormat="false" ht="15" hidden="false" customHeight="false" outlineLevel="0" collapsed="false">
      <c r="B294" s="2" t="s">
        <v>893</v>
      </c>
    </row>
    <row r="295" customFormat="false" ht="15" hidden="false" customHeight="false" outlineLevel="0" collapsed="false">
      <c r="B295" s="2" t="s">
        <v>894</v>
      </c>
    </row>
    <row r="296" customFormat="false" ht="15" hidden="false" customHeight="false" outlineLevel="0" collapsed="false">
      <c r="B296" s="2" t="s">
        <v>895</v>
      </c>
    </row>
    <row r="297" customFormat="false" ht="15" hidden="false" customHeight="false" outlineLevel="0" collapsed="false">
      <c r="B297" s="2" t="s">
        <v>896</v>
      </c>
    </row>
    <row r="298" customFormat="false" ht="15" hidden="false" customHeight="false" outlineLevel="0" collapsed="false">
      <c r="B298" s="2" t="s">
        <v>897</v>
      </c>
    </row>
    <row r="299" customFormat="false" ht="15" hidden="false" customHeight="false" outlineLevel="0" collapsed="false">
      <c r="B299" s="2" t="s">
        <v>898</v>
      </c>
    </row>
    <row r="300" customFormat="false" ht="15" hidden="false" customHeight="false" outlineLevel="0" collapsed="false">
      <c r="B300" s="2" t="s">
        <v>899</v>
      </c>
    </row>
    <row r="301" customFormat="false" ht="15" hidden="false" customHeight="false" outlineLevel="0" collapsed="false">
      <c r="B301" s="2" t="s">
        <v>900</v>
      </c>
    </row>
    <row r="302" customFormat="false" ht="15" hidden="false" customHeight="false" outlineLevel="0" collapsed="false">
      <c r="B302" s="2" t="s">
        <v>901</v>
      </c>
    </row>
    <row r="303" customFormat="false" ht="15" hidden="false" customHeight="false" outlineLevel="0" collapsed="false">
      <c r="B303" s="2" t="s">
        <v>902</v>
      </c>
    </row>
    <row r="304" customFormat="false" ht="15" hidden="false" customHeight="false" outlineLevel="0" collapsed="false">
      <c r="B304" s="2" t="s">
        <v>903</v>
      </c>
    </row>
    <row r="305" customFormat="false" ht="15" hidden="false" customHeight="false" outlineLevel="0" collapsed="false">
      <c r="B305" s="2" t="s">
        <v>904</v>
      </c>
    </row>
    <row r="306" customFormat="false" ht="15" hidden="false" customHeight="false" outlineLevel="0" collapsed="false">
      <c r="B306" s="2" t="s">
        <v>905</v>
      </c>
    </row>
    <row r="307" customFormat="false" ht="15" hidden="false" customHeight="false" outlineLevel="0" collapsed="false">
      <c r="B307" s="2" t="s">
        <v>906</v>
      </c>
    </row>
    <row r="308" customFormat="false" ht="15" hidden="false" customHeight="false" outlineLevel="0" collapsed="false">
      <c r="B308" s="2" t="s">
        <v>907</v>
      </c>
    </row>
    <row r="309" customFormat="false" ht="15" hidden="false" customHeight="false" outlineLevel="0" collapsed="false">
      <c r="B309" s="2" t="s">
        <v>908</v>
      </c>
    </row>
    <row r="310" customFormat="false" ht="15" hidden="false" customHeight="false" outlineLevel="0" collapsed="false">
      <c r="B310" s="2" t="s">
        <v>909</v>
      </c>
    </row>
    <row r="311" customFormat="false" ht="15" hidden="false" customHeight="false" outlineLevel="0" collapsed="false">
      <c r="B311" s="2" t="s">
        <v>910</v>
      </c>
    </row>
    <row r="312" customFormat="false" ht="15" hidden="false" customHeight="false" outlineLevel="0" collapsed="false">
      <c r="B312" s="2" t="s">
        <v>911</v>
      </c>
    </row>
    <row r="313" customFormat="false" ht="15" hidden="false" customHeight="false" outlineLevel="0" collapsed="false">
      <c r="B313" s="2" t="s">
        <v>912</v>
      </c>
    </row>
    <row r="314" customFormat="false" ht="15" hidden="false" customHeight="false" outlineLevel="0" collapsed="false">
      <c r="B314" s="2" t="s">
        <v>913</v>
      </c>
    </row>
    <row r="315" customFormat="false" ht="15" hidden="false" customHeight="false" outlineLevel="0" collapsed="false">
      <c r="B315" s="2" t="s">
        <v>914</v>
      </c>
    </row>
    <row r="316" customFormat="false" ht="15" hidden="false" customHeight="false" outlineLevel="0" collapsed="false">
      <c r="B316" s="2" t="s">
        <v>915</v>
      </c>
    </row>
    <row r="317" customFormat="false" ht="15" hidden="false" customHeight="false" outlineLevel="0" collapsed="false">
      <c r="B317" s="2" t="s">
        <v>916</v>
      </c>
    </row>
    <row r="318" customFormat="false" ht="15" hidden="false" customHeight="false" outlineLevel="0" collapsed="false">
      <c r="B318" s="2" t="s">
        <v>917</v>
      </c>
    </row>
    <row r="319" customFormat="false" ht="15" hidden="false" customHeight="false" outlineLevel="0" collapsed="false">
      <c r="B319" s="2" t="s">
        <v>918</v>
      </c>
    </row>
    <row r="320" customFormat="false" ht="15" hidden="false" customHeight="false" outlineLevel="0" collapsed="false">
      <c r="B320" s="2" t="s">
        <v>919</v>
      </c>
    </row>
    <row r="321" customFormat="false" ht="15" hidden="false" customHeight="false" outlineLevel="0" collapsed="false">
      <c r="B321" s="2" t="s">
        <v>920</v>
      </c>
    </row>
    <row r="322" customFormat="false" ht="15" hidden="false" customHeight="false" outlineLevel="0" collapsed="false">
      <c r="B322" s="2" t="s">
        <v>921</v>
      </c>
    </row>
    <row r="323" customFormat="false" ht="15" hidden="false" customHeight="false" outlineLevel="0" collapsed="false">
      <c r="B323" s="2" t="s">
        <v>922</v>
      </c>
    </row>
    <row r="325" customFormat="false" ht="15" hidden="false" customHeight="false" outlineLevel="0" collapsed="false">
      <c r="B325" s="7" t="s">
        <v>923</v>
      </c>
    </row>
    <row r="326" customFormat="false" ht="15" hidden="false" customHeight="false" outlineLevel="0" collapsed="false">
      <c r="B326" s="2" t="s">
        <v>924</v>
      </c>
    </row>
    <row r="327" customFormat="false" ht="15" hidden="false" customHeight="false" outlineLevel="0" collapsed="false">
      <c r="B327" s="2" t="s">
        <v>925</v>
      </c>
    </row>
    <row r="328" customFormat="false" ht="15" hidden="false" customHeight="false" outlineLevel="0" collapsed="false">
      <c r="B328" s="2" t="s">
        <v>926</v>
      </c>
    </row>
    <row r="329" customFormat="false" ht="15" hidden="false" customHeight="false" outlineLevel="0" collapsed="false">
      <c r="B329" s="2" t="s">
        <v>927</v>
      </c>
    </row>
    <row r="330" customFormat="false" ht="15" hidden="false" customHeight="false" outlineLevel="0" collapsed="false">
      <c r="B330" s="2" t="s">
        <v>928</v>
      </c>
    </row>
    <row r="331" customFormat="false" ht="15" hidden="false" customHeight="false" outlineLevel="0" collapsed="false">
      <c r="B331" s="2" t="s">
        <v>929</v>
      </c>
    </row>
    <row r="332" customFormat="false" ht="15" hidden="false" customHeight="false" outlineLevel="0" collapsed="false">
      <c r="B332" s="2" t="s">
        <v>930</v>
      </c>
    </row>
    <row r="333" customFormat="false" ht="15" hidden="false" customHeight="false" outlineLevel="0" collapsed="false">
      <c r="B333" s="2" t="s">
        <v>931</v>
      </c>
    </row>
    <row r="334" customFormat="false" ht="15" hidden="false" customHeight="false" outlineLevel="0" collapsed="false">
      <c r="B334" s="2" t="s">
        <v>932</v>
      </c>
    </row>
    <row r="335" customFormat="false" ht="15" hidden="false" customHeight="false" outlineLevel="0" collapsed="false">
      <c r="B335" s="2" t="s">
        <v>933</v>
      </c>
    </row>
    <row r="336" customFormat="false" ht="15" hidden="false" customHeight="false" outlineLevel="0" collapsed="false">
      <c r="B336" s="2" t="s">
        <v>934</v>
      </c>
    </row>
    <row r="337" customFormat="false" ht="15" hidden="false" customHeight="false" outlineLevel="0" collapsed="false">
      <c r="B337" s="2" t="s">
        <v>935</v>
      </c>
    </row>
    <row r="338" customFormat="false" ht="15" hidden="false" customHeight="false" outlineLevel="0" collapsed="false">
      <c r="B338" s="2" t="s">
        <v>936</v>
      </c>
    </row>
    <row r="339" customFormat="false" ht="15" hidden="false" customHeight="false" outlineLevel="0" collapsed="false">
      <c r="B339" s="2" t="s">
        <v>937</v>
      </c>
    </row>
    <row r="340" customFormat="false" ht="15" hidden="false" customHeight="false" outlineLevel="0" collapsed="false">
      <c r="B340" s="2" t="s">
        <v>938</v>
      </c>
    </row>
    <row r="341" customFormat="false" ht="15" hidden="false" customHeight="false" outlineLevel="0" collapsed="false">
      <c r="B341" s="2" t="s">
        <v>939</v>
      </c>
    </row>
    <row r="342" customFormat="false" ht="15" hidden="false" customHeight="false" outlineLevel="0" collapsed="false">
      <c r="B342" s="2" t="s">
        <v>940</v>
      </c>
    </row>
    <row r="343" customFormat="false" ht="15" hidden="false" customHeight="false" outlineLevel="0" collapsed="false">
      <c r="B343" s="2" t="s">
        <v>941</v>
      </c>
    </row>
    <row r="344" customFormat="false" ht="15" hidden="false" customHeight="false" outlineLevel="0" collapsed="false">
      <c r="B344" s="2" t="s">
        <v>942</v>
      </c>
    </row>
    <row r="345" customFormat="false" ht="15" hidden="false" customHeight="false" outlineLevel="0" collapsed="false">
      <c r="B345" s="2" t="s">
        <v>943</v>
      </c>
    </row>
    <row r="346" customFormat="false" ht="15" hidden="false" customHeight="false" outlineLevel="0" collapsed="false">
      <c r="B346" s="2" t="s">
        <v>944</v>
      </c>
    </row>
    <row r="347" customFormat="false" ht="15" hidden="false" customHeight="false" outlineLevel="0" collapsed="false">
      <c r="B347" s="2" t="s">
        <v>945</v>
      </c>
    </row>
    <row r="348" customFormat="false" ht="15" hidden="false" customHeight="false" outlineLevel="0" collapsed="false">
      <c r="B348" s="2" t="s">
        <v>946</v>
      </c>
    </row>
    <row r="349" customFormat="false" ht="15" hidden="false" customHeight="false" outlineLevel="0" collapsed="false">
      <c r="B349" s="2" t="s">
        <v>947</v>
      </c>
    </row>
    <row r="350" customFormat="false" ht="15" hidden="false" customHeight="false" outlineLevel="0" collapsed="false">
      <c r="B350" s="2" t="s">
        <v>948</v>
      </c>
    </row>
    <row r="351" customFormat="false" ht="15" hidden="false" customHeight="false" outlineLevel="0" collapsed="false">
      <c r="B351" s="2" t="s">
        <v>949</v>
      </c>
    </row>
    <row r="352" customFormat="false" ht="15" hidden="false" customHeight="false" outlineLevel="0" collapsed="false">
      <c r="B352" s="2" t="s">
        <v>950</v>
      </c>
    </row>
    <row r="353" customFormat="false" ht="15" hidden="false" customHeight="false" outlineLevel="0" collapsed="false">
      <c r="B353" s="2" t="s">
        <v>951</v>
      </c>
    </row>
    <row r="354" customFormat="false" ht="15" hidden="false" customHeight="false" outlineLevel="0" collapsed="false">
      <c r="B354" s="2" t="s">
        <v>952</v>
      </c>
    </row>
    <row r="355" customFormat="false" ht="15" hidden="false" customHeight="false" outlineLevel="0" collapsed="false">
      <c r="B355" s="2" t="s">
        <v>953</v>
      </c>
    </row>
    <row r="356" customFormat="false" ht="15" hidden="false" customHeight="false" outlineLevel="0" collapsed="false">
      <c r="B356" s="2" t="s">
        <v>954</v>
      </c>
    </row>
    <row r="357" customFormat="false" ht="15" hidden="false" customHeight="false" outlineLevel="0" collapsed="false">
      <c r="B357" s="2" t="s">
        <v>955</v>
      </c>
    </row>
    <row r="358" customFormat="false" ht="15" hidden="false" customHeight="false" outlineLevel="0" collapsed="false">
      <c r="B358" s="2" t="s">
        <v>956</v>
      </c>
    </row>
    <row r="359" customFormat="false" ht="15" hidden="false" customHeight="false" outlineLevel="0" collapsed="false">
      <c r="B359" s="2" t="s">
        <v>957</v>
      </c>
    </row>
    <row r="360" customFormat="false" ht="15" hidden="false" customHeight="false" outlineLevel="0" collapsed="false">
      <c r="B360" s="2" t="s">
        <v>958</v>
      </c>
    </row>
    <row r="361" customFormat="false" ht="15" hidden="false" customHeight="false" outlineLevel="0" collapsed="false">
      <c r="B361" s="2" t="s">
        <v>959</v>
      </c>
    </row>
    <row r="362" customFormat="false" ht="15" hidden="false" customHeight="false" outlineLevel="0" collapsed="false">
      <c r="B362" s="2" t="s">
        <v>960</v>
      </c>
    </row>
    <row r="363" customFormat="false" ht="15" hidden="false" customHeight="false" outlineLevel="0" collapsed="false">
      <c r="B363" s="2" t="s">
        <v>961</v>
      </c>
    </row>
    <row r="364" customFormat="false" ht="15" hidden="false" customHeight="false" outlineLevel="0" collapsed="false">
      <c r="B364" s="2" t="s">
        <v>962</v>
      </c>
    </row>
    <row r="365" customFormat="false" ht="15" hidden="false" customHeight="false" outlineLevel="0" collapsed="false">
      <c r="B365" s="2" t="s">
        <v>963</v>
      </c>
    </row>
    <row r="366" customFormat="false" ht="15" hidden="false" customHeight="false" outlineLevel="0" collapsed="false">
      <c r="B366" s="2" t="s">
        <v>964</v>
      </c>
    </row>
    <row r="367" customFormat="false" ht="15" hidden="false" customHeight="false" outlineLevel="0" collapsed="false">
      <c r="B367" s="2" t="s">
        <v>965</v>
      </c>
    </row>
    <row r="368" customFormat="false" ht="15" hidden="false" customHeight="false" outlineLevel="0" collapsed="false">
      <c r="B368" s="2" t="s">
        <v>966</v>
      </c>
    </row>
    <row r="369" customFormat="false" ht="15" hidden="false" customHeight="false" outlineLevel="0" collapsed="false">
      <c r="B369" s="2" t="s">
        <v>967</v>
      </c>
    </row>
    <row r="370" customFormat="false" ht="15" hidden="false" customHeight="false" outlineLevel="0" collapsed="false">
      <c r="B370" s="2" t="s">
        <v>968</v>
      </c>
    </row>
    <row r="371" customFormat="false" ht="15" hidden="false" customHeight="false" outlineLevel="0" collapsed="false">
      <c r="B371" s="2" t="s">
        <v>969</v>
      </c>
    </row>
    <row r="372" customFormat="false" ht="15" hidden="false" customHeight="false" outlineLevel="0" collapsed="false">
      <c r="B372" s="2" t="s">
        <v>970</v>
      </c>
    </row>
    <row r="373" customFormat="false" ht="15" hidden="false" customHeight="false" outlineLevel="0" collapsed="false">
      <c r="B373" s="2" t="s">
        <v>971</v>
      </c>
    </row>
    <row r="374" customFormat="false" ht="15" hidden="false" customHeight="false" outlineLevel="0" collapsed="false">
      <c r="B374" s="2" t="s">
        <v>972</v>
      </c>
    </row>
    <row r="375" customFormat="false" ht="15" hidden="false" customHeight="false" outlineLevel="0" collapsed="false">
      <c r="B375" s="2" t="s">
        <v>973</v>
      </c>
    </row>
    <row r="376" customFormat="false" ht="15" hidden="false" customHeight="false" outlineLevel="0" collapsed="false">
      <c r="B376" s="2" t="s">
        <v>974</v>
      </c>
    </row>
    <row r="377" customFormat="false" ht="15" hidden="false" customHeight="false" outlineLevel="0" collapsed="false">
      <c r="B377" s="2" t="s">
        <v>975</v>
      </c>
    </row>
    <row r="378" customFormat="false" ht="15" hidden="false" customHeight="false" outlineLevel="0" collapsed="false">
      <c r="B378" s="2" t="s">
        <v>976</v>
      </c>
    </row>
    <row r="379" customFormat="false" ht="15" hidden="false" customHeight="false" outlineLevel="0" collapsed="false">
      <c r="B379" s="2" t="s">
        <v>977</v>
      </c>
    </row>
    <row r="380" customFormat="false" ht="15" hidden="false" customHeight="false" outlineLevel="0" collapsed="false">
      <c r="B380" s="2" t="s">
        <v>978</v>
      </c>
    </row>
    <row r="381" customFormat="false" ht="15" hidden="false" customHeight="false" outlineLevel="0" collapsed="false">
      <c r="B381" s="2" t="s">
        <v>979</v>
      </c>
    </row>
    <row r="382" customFormat="false" ht="15" hidden="false" customHeight="false" outlineLevel="0" collapsed="false">
      <c r="B382" s="2" t="s">
        <v>980</v>
      </c>
    </row>
    <row r="383" customFormat="false" ht="15" hidden="false" customHeight="false" outlineLevel="0" collapsed="false">
      <c r="B383" s="2" t="s">
        <v>981</v>
      </c>
    </row>
    <row r="384" customFormat="false" ht="15" hidden="false" customHeight="false" outlineLevel="0" collapsed="false">
      <c r="B384" s="2" t="s">
        <v>982</v>
      </c>
    </row>
    <row r="385" customFormat="false" ht="15" hidden="false" customHeight="false" outlineLevel="0" collapsed="false">
      <c r="B385" s="2" t="s">
        <v>983</v>
      </c>
    </row>
    <row r="386" customFormat="false" ht="15" hidden="false" customHeight="false" outlineLevel="0" collapsed="false">
      <c r="B386" s="2" t="s">
        <v>984</v>
      </c>
    </row>
    <row r="387" customFormat="false" ht="15" hidden="false" customHeight="false" outlineLevel="0" collapsed="false">
      <c r="B387" s="2" t="s">
        <v>985</v>
      </c>
    </row>
    <row r="388" customFormat="false" ht="15" hidden="false" customHeight="false" outlineLevel="0" collapsed="false">
      <c r="B388" s="2" t="s">
        <v>986</v>
      </c>
    </row>
    <row r="389" customFormat="false" ht="15" hidden="false" customHeight="false" outlineLevel="0" collapsed="false">
      <c r="B389" s="2" t="s">
        <v>987</v>
      </c>
    </row>
    <row r="390" customFormat="false" ht="15" hidden="false" customHeight="false" outlineLevel="0" collapsed="false">
      <c r="B390" s="2" t="s">
        <v>988</v>
      </c>
    </row>
    <row r="391" customFormat="false" ht="15" hidden="false" customHeight="false" outlineLevel="0" collapsed="false">
      <c r="B391" s="2" t="s">
        <v>989</v>
      </c>
    </row>
    <row r="392" customFormat="false" ht="15" hidden="false" customHeight="false" outlineLevel="0" collapsed="false">
      <c r="B392" s="2" t="s">
        <v>990</v>
      </c>
    </row>
    <row r="393" customFormat="false" ht="15" hidden="false" customHeight="false" outlineLevel="0" collapsed="false">
      <c r="B393" s="2" t="s">
        <v>991</v>
      </c>
    </row>
    <row r="394" customFormat="false" ht="15" hidden="false" customHeight="false" outlineLevel="0" collapsed="false">
      <c r="B394" s="2" t="s">
        <v>992</v>
      </c>
    </row>
    <row r="395" customFormat="false" ht="15" hidden="false" customHeight="false" outlineLevel="0" collapsed="false">
      <c r="B395" s="2" t="s">
        <v>993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2026-10-08T02:34:16Z</dcterms:created>
  <dc:creator>LF</dc:creator>
  <dc:description>Modelo buy-side Micron Technology (MU) - v1 07/out/26</dc:description>
  <dc:language>en-US</dc:language>
  <cp:lastModifiedBy>LF</cp:lastModifiedBy>
  <dcterms:modified xsi:type="dcterms:W3CDTF">2026-10-08T02:34:16Z</dcterms:modified>
  <cp:revision>0</cp:revision>
  <dc:subject/>
  <dc:title>Micron (MU) - Modelo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