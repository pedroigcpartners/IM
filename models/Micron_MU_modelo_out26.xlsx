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Premissas" sheetId="2" state="visible" r:id="rId4"/>
    <sheet name="Operacional" sheetId="3" state="visible" r:id="rId5"/>
    <sheet name="DRE" sheetId="4" state="visible" r:id="rId6"/>
    <sheet name="BP" sheetId="5" state="visible" r:id="rId7"/>
    <sheet name="FC" sheetId="6" state="visible" r:id="rId8"/>
    <sheet name="Suporte" sheetId="7" state="visible" r:id="rId9"/>
    <sheet name="DCF" sheetId="8" state="visible" r:id="rId10"/>
    <sheet name="Multiplos" sheetId="9" state="visible" r:id="rId11"/>
    <sheet name="Trimestral" sheetId="10" state="visible" r:id="rId12"/>
    <sheet name="Ciclo" sheetId="11" state="visible" r:id="rId13"/>
    <sheet name="Nota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10" authorId="0">
      <text>
        <r>
          <rPr>
            <sz val="10"/>
            <rFont val="Arial"/>
            <family val="2"/>
          </rPr>
          <t xml:space="preserve">Soma dos PT dos tres cenarios (snapshot) ponderados pelos pesos em I5:I7.</t>
        </r>
      </text>
    </comment>
    <comment ref="G5" authorId="0">
      <text>
        <r>
          <rPr>
            <sz val="10"/>
            <rFont val="Arial"/>
            <family val="2"/>
          </rPr>
          <t xml:space="preserve">Pesos subjetivos da casa: 50% Base (visao central), 25% Bull (gestao certa: CY27-28 mais apertados), 25% Bear (ciclo vira em CQ2'27). Ajustar na reuniao de comite.</t>
        </r>
      </text>
    </comment>
    <comment ref="L23" authorId="0">
      <text>
        <r>
          <rPr>
            <sz val="10"/>
            <rFont val="Arial"/>
            <family val="2"/>
          </rPr>
          <t xml:space="preserve">Ano normalizado (mid-cycle) = base do valor terminal, ~50% do EV. MB 62% &lt; vale explicito de 68% (FY30E): floors das SCAs expiram em 2030-31 e a capacidade nova chega; ainda assim acima de qualquer pico historico (59%).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B7" authorId="0">
      <text>
        <r>
          <rPr>
            <sz val="10"/>
            <rFont val="Arial"/>
            <family val="2"/>
          </rPr>
          <t xml:space="preserve">Historico (10-K): FY24 bits +mid-40s%; FY25 +mid-teens%. Industria CY27-28 low-20s% (remarks 4T26) menos a 53a semana do FY26 e o consumo de wafers do HBM4.</t>
        </r>
      </text>
    </comment>
    <comment ref="B13" authorId="0">
      <text>
        <r>
          <rPr>
            <sz val="10"/>
            <rFont val="Arial"/>
            <family val="2"/>
          </rPr>
          <t xml:space="preserve">Historico (10-K): FY24 ASP +low-teens%; FY25 +low-40s%. FY27: +46 p.p. e carry-over do preco de saida do 4T26 (indice 379 vs media FY26 259); o restante sao altas t/t moderadas e decrescentes (ver Operacional).</t>
        </r>
      </text>
    </comment>
    <comment ref="B25" authorId="0">
      <text>
        <r>
          <rPr>
            <sz val="10"/>
            <rFont val="Arial"/>
            <family val="2"/>
          </rPr>
          <t xml:space="preserve">Historico (10-K): FY24 bits +low-30s%; FY25 +high-teens%.</t>
        </r>
      </text>
    </comment>
    <comment ref="B31" authorId="0">
      <text>
        <r>
          <rPr>
            <sz val="10"/>
            <rFont val="Arial"/>
            <family val="2"/>
          </rPr>
          <t xml:space="preserve">Historico (10-K): FY24 ASP +low-30s%; FY25 n.d. (10-K cita so bits). FY27: carry-over de +60% (saida 4T26 vs media FY26) + eSSD.</t>
        </r>
      </text>
    </comment>
    <comment ref="B67" authorId="0">
      <text>
        <r>
          <rPr>
            <sz val="10"/>
            <rFont val="Arial"/>
            <family val="2"/>
          </rPr>
          <t xml:space="preserve">Liquido de incentivos governamentais (definicao da Micron). Sem guia anual FY27: 1T27 ~11,5 bi, 1S27 ~25 bi, 2S 'maior' (call 4T26).</t>
        </r>
      </text>
    </comment>
    <comment ref="B73" authorId="0">
      <text>
        <r>
          <rPr>
            <sz val="10"/>
            <rFont val="Arial"/>
            <family val="2"/>
          </rPr>
          <t xml:space="preserve">Realizado FY24-26: 20,5% / 21,0% / 20,4% do PP&amp;E liquido inicial; cai enquanto obra civil (nao depreciada) domina o capex.</t>
        </r>
      </text>
    </comment>
    <comment ref="B85" authorId="0">
      <text>
        <r>
          <rPr>
            <sz val="10"/>
            <rFont val="Arial"/>
            <family val="2"/>
          </rPr>
          <t xml:space="preserve">Base anual: CR / receita x 365 (FY26A 99 dias, distorcido pela rampa intra-ano).</t>
        </r>
      </text>
    </comment>
    <comment ref="B91" authorId="0">
      <text>
        <r>
          <rPr>
            <sz val="10"/>
            <rFont val="Arial"/>
            <family val="2"/>
          </rPr>
          <t xml:space="preserve">Estoque / COGS anual x 365 (FY26A 147); nao e o DIO trimestral da empresa (129 dias no 4T26).</t>
        </r>
      </text>
    </comment>
    <comment ref="B97" authorId="0">
      <text>
        <r>
          <rPr>
            <sz val="10"/>
            <rFont val="Arial"/>
            <family val="2"/>
          </rPr>
          <t xml:space="preserve">(Fornecedores + provisoes) / COGS x 365 (FY26A 321; capex e bonus inflam o passivo).</t>
        </r>
      </text>
    </comment>
    <comment ref="B103" authorId="0">
      <text>
        <r>
          <rPr>
            <sz val="10"/>
            <rFont val="Arial"/>
            <family val="2"/>
          </rPr>
          <t xml:space="preserve">Politica de capital: '100% do caixa excedente' devolvido via recompra a partir de 9-dez-26 (CFO, call 4T26); nivel-alvo de caixa nao divulgado. Premissa: ~2 trimestres de capex + opex (40-50 bi) apos um FY27 de transicao (autorizacao nova so em dez/26). Recompras = caixa inicial + FCF - dividendos +/- outros - caixa alvo (Suporte, bloco d). Historico = caixa realizado.</t>
        </r>
      </text>
    </comment>
    <comment ref="B109" authorId="0">
      <text>
        <r>
          <rPr>
            <sz val="10"/>
            <rFont val="Arial"/>
            <family val="2"/>
          </rPr>
          <t xml:space="preserve">Preco MEDIO DE MERCADO assumido para as recompras (nao e valor justo): segue a trajetoria de preco de cada cenario (Base: acima do PT em FY27-28, abaixo no ajuste). So afeta a contagem de acoes; sensibilidade EPS FY28E x preco no Resumo.</t>
        </r>
      </text>
    </comment>
    <comment ref="B127" authorId="0">
      <text>
        <r>
          <rPr>
            <sz val="10"/>
            <rFont val="Arial"/>
            <family val="2"/>
          </rPr>
          <t xml:space="preserve">Estimativa: cupom medio ponderado das notas (~4,3%, 10-Q mai/26) + finance leases 4,72%; ver bloco (e) no Suporte.</t>
        </r>
      </text>
    </comment>
    <comment ref="B133" authorId="0">
      <text>
        <r>
          <rPr>
            <sz val="10"/>
            <rFont val="Arial"/>
            <family val="2"/>
          </rPr>
          <t xml:space="preserve">Estimativa: ~7 mn acoes/ano de diluicao liquida de RSUs (FY24-26: +5 a +18 mn a/a na media diluida).</t>
        </r>
      </text>
    </comment>
    <comment ref="B139" authorId="0">
      <text>
        <r>
          <rPr>
            <sz val="10"/>
            <rFont val="Arial"/>
            <family val="2"/>
          </rPr>
          <t xml:space="preserve">Depositos de clientes sob SCAs (12.895 em 03/set/26) sao creditados contra compras futuras: premissa de consumo 20/30/30/20% em FY27-30 (curva nao divulgada; contratos ate 2030). Entra no FC como uso de caixa e reduz o passivo no BP; a ponte EV-&gt;equity deduz o saldo integral.</t>
        </r>
      </text>
    </comment>
    <comment ref="B146" authorId="0">
      <text>
        <r>
          <rPr>
            <sz val="10"/>
            <rFont val="Arial"/>
            <family val="2"/>
          </rPr>
          <t xml:space="preserve">Gestao (call 4T26): crescimento sequencial em todos os trimestres do FY27; contrato DRAM 4T26 +10-15% (TrendForce). Base: 61,5 -&gt; 66,4 -&gt; 71,1 -&gt; ~73,8 bi; Bear quebra a sequencia no 3T27.</t>
        </r>
      </text>
    </comment>
    <comment ref="B158" authorId="0">
      <text>
        <r>
          <rPr>
            <sz val="10"/>
            <rFont val="Arial"/>
            <family val="2"/>
          </rPr>
          <t xml:space="preserve">MB mid-cycle abaixo do vale explicito (FY30E 68% no Base) porque os floors das SCAs expiram em 2030-31 e a capacidade de Samsung/SK/CXMT chega; acima de qualquer pico historico (59%, FY18) pelo mix HBM/data center. Referencia visual na aba Ciclo.</t>
        </r>
      </text>
    </comment>
    <comment ref="B173" authorId="0">
      <text>
        <r>
          <rPr>
            <sz val="10"/>
            <rFont val="Arial"/>
            <family val="2"/>
          </rPr>
          <t xml:space="preserve">Capex/D&amp;A ~1,45x no normalizado (24% vs 16,5% da receita): consistente com bits +15-20% a.a. e ASP caindo ~10% a.a. no longo prazo (capex real por bit em queda). Em regime nominal com g=3% implicaria ~1,1-1,2x; testar 20-21% de capex na sensibilidade 2 (MB) - pendencia em Notas.</t>
        </r>
      </text>
    </comment>
    <comment ref="B188" authorId="0">
      <text>
        <r>
          <rPr>
            <sz val="10"/>
            <rFont val="Arial"/>
            <family val="2"/>
          </rPr>
          <t xml:space="preserve">No ano normalizado o NWC e um USO de caixa = % x receita normalizada x g (investimento perpetuo), nao a liberacao pontual do ajuste de receita FY31E -&gt; normalizado.</t>
        </r>
      </text>
    </comment>
    <comment ref="B196" authorId="0">
      <text>
        <r>
          <rPr>
            <sz val="10"/>
            <rFont val="Arial"/>
            <family val="2"/>
          </rPr>
          <t xml:space="preserve">Beta bruto 2,23 (Yahoo, 5a mensal); Base 1,82 = ajuste Blume; faixa 1,6-2,3 conforme janela.</t>
        </r>
      </text>
    </comment>
    <comment ref="D11" authorId="0">
      <text>
        <r>
          <rPr>
            <sz val="10"/>
            <rFont val="Arial"/>
            <family val="2"/>
          </rPr>
          <t xml:space="preserve">Colunas historicas das linhas de bits mostram o crescimento da RECEITA do produto (bits x ASP); o 10-K abre bits/ASP so em faixas (ver comentario do cabecalho).</t>
        </r>
      </text>
    </comment>
    <comment ref="H220" authorId="0">
      <text>
        <r>
          <rPr>
            <sz val="10"/>
            <rFont val="Arial"/>
            <family val="2"/>
          </rPr>
          <t xml:space="preserve">Estimativa: MB DRAM FY26 ~81,5% = media ponderada por receita das MBs trimestrais estimadas (~62% / 77% / 85% / 86,5% em 1T-4T26; HBM com margem abaixo do DRAM convencional). A MB NAND (~78,6%) e o residual na aba Operacional para bater com o lucro bruto consolidado reportado (107.504). Outros (NOR) 65%. Revisar com o 10-K FY26.</t>
        </r>
      </text>
    </comment>
    <comment ref="H221" authorId="0">
      <text>
        <r>
          <rPr>
            <sz val="10"/>
            <rFont val="Arial"/>
            <family val="2"/>
          </rPr>
          <t xml:space="preserve">Estimativa; receita 'outros' (733) e o residual da receita total menos DRAM e NAND.</t>
        </r>
      </text>
    </comment>
    <comment ref="I195" authorId="0">
      <text>
        <r>
          <rPr>
            <sz val="10"/>
            <rFont val="Arial"/>
            <family val="2"/>
          </rPr>
          <t xml:space="preserve">FRED DGS10, 06/out/26: 5,27% (07/out tocou 5,36%).</t>
        </r>
      </text>
    </comment>
    <comment ref="I201" authorId="0">
      <text>
        <r>
          <rPr>
            <sz val="10"/>
            <rFont val="Arial"/>
            <family val="2"/>
          </rPr>
          <t xml:space="preserve">Damodaran, ERP implicito 01/out/26: 4,20% (4,42% com spread soberano).</t>
        </r>
      </text>
    </comment>
    <comment ref="I203" authorId="0">
      <text>
        <r>
          <rPr>
            <sz val="10"/>
            <rFont val="Arial"/>
            <family val="2"/>
          </rPr>
          <t xml:space="preserve">UST + ~60 bp (tender mar/26 a T+30/40 bp; OAS BBB ~85 bp). Quotes de bonds MU abaixo do UST estao defasados.</t>
        </r>
      </text>
    </comment>
    <comment ref="I206" authorId="0">
      <text>
        <r>
          <rPr>
            <sz val="10"/>
            <rFont val="Arial"/>
            <family val="2"/>
          </rPr>
          <t xml:space="preserve">Divida 5,2 bi / (mkt cap 1,20 tri + 5,2 bi) ~0,4-0,5%.</t>
        </r>
      </text>
    </comment>
    <comment ref="I216" authorId="0">
      <text>
        <r>
          <rPr>
            <sz val="10"/>
            <rFont val="Arial"/>
            <family val="2"/>
          </rPr>
          <t xml:space="preserve">Ano fiscal termina na quinta-feira mais proxima de 31/ago: FY27 = 04/set/26 a 02/set/27. Periodo de desconto do FY27 = (fim do FY - data de valuation)/365 - 0,5 (stub).</t>
        </r>
      </text>
    </comment>
    <comment ref="I217" authorId="0">
      <text>
        <r>
          <rPr>
            <sz val="10"/>
            <rFont val="Arial"/>
            <family val="2"/>
          </rPr>
          <t xml:space="preserve">Leases cairam de 3.044 (28/ago/25) para 2.670 (28/mai/26) = ~374 em 9 meses -&gt; ~500/ano; entra na amortizacao e na parcela corrente (Suporte, bloco c).</t>
        </r>
      </text>
    </comment>
    <comment ref="I224" authorId="0">
      <text>
        <r>
          <rPr>
            <sz val="10"/>
            <rFont val="Arial"/>
            <family val="2"/>
          </rPr>
          <t xml:space="preserve">Fechamento 06/out/26 (stockinvest.us; cruzado com heygotrade: 1.045,56).</t>
        </r>
      </text>
    </comment>
    <comment ref="I226" authorId="0">
      <text>
        <r>
          <rPr>
            <sz val="10"/>
            <rFont val="Arial"/>
            <family val="2"/>
          </rPr>
          <t xml:space="preserve">Media ponderada diluida do 4T26 (8-K 30/set/26, ex-99.1): 1.147 mn. Usada em mkt cap, EV, valor por acao e como ponto de partida das acoes FY27 (guia 1T27: ~1.150 mn).</t>
        </r>
      </text>
    </comment>
    <comment ref="I227" authorId="0">
      <text>
        <r>
          <rPr>
            <sz val="10"/>
            <rFont val="Arial"/>
            <family val="2"/>
          </rPr>
          <t xml:space="preserve">Agregador (wallstreetzen, 06/out/26, data da contagem nao informada); ultimo cover SEC 1.127,7 mn (10-Q 11/mar/26); media basica 4T26 1.130 mn. So memo.</t>
        </r>
      </text>
    </comment>
    <comment ref="I228" authorId="0">
      <text>
        <r>
          <rPr>
            <sz val="10"/>
            <rFont val="Arial"/>
            <family val="2"/>
          </rPr>
          <t xml:space="preserve">stockanalysis / yahoo finance pos-4T26 (36 estimativas), 06/out/26.</t>
        </r>
      </text>
    </comment>
    <comment ref="I229" authorId="0">
      <text>
        <r>
          <rPr>
            <sz val="10"/>
            <rFont val="Arial"/>
            <family val="2"/>
          </rPr>
          <t xml:space="preserve">stockanalysis 176,15 / yahoo 176,42; marketscreener 173,9 (base GAAP).</t>
        </r>
      </text>
    </comment>
    <comment ref="I231" authorId="0">
      <text>
        <r>
          <rPr>
            <sz val="10"/>
            <rFont val="Arial"/>
            <family val="2"/>
          </rPr>
          <t xml:space="preserve">stockanalysis 206,33 / yahoo 205,95 / marketscreener 207,8 (33 estimativas).</t>
        </r>
      </text>
    </comment>
    <comment ref="I232" authorId="0">
      <text>
        <r>
          <rPr>
            <sz val="10"/>
            <rFont val="Arial"/>
            <family val="2"/>
          </rPr>
          <t xml:space="preserve">Media de 49 analistas (stockanalysis / investing / yahoo, 06/out/26): 1.535,57; mediana 1.550; maximo 2.200 (DA Davidson 3.000 em 07/out fora dos agregadores); minimo ativo 1.200 (Morgan Stanley). Alternativas: 1.520 (marketscreener), 1.548 (wallstreetzen), 1.386 (marketbeat).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B44" authorId="0">
      <text>
        <r>
          <rPr>
            <sz val="10"/>
            <rFont val="Arial"/>
            <family val="2"/>
          </rPr>
          <t xml:space="preserve">Estimativa da casa. Referencias: gestao ~35 bi (2025) -&gt; ~100 bi (2028), guia de dez/25 nao revisado apos a alta de preco (prepared remarks 1T26); JPMorgan 160 bi (2027) / 282 bi (2028); TrendForce: contrato de HBM +70-140% em 2027. FY27E 130 bi fica entre a gestao e o sell-side; cai em FY29-30 com o ciclo e volta em FY31.</t>
        </r>
      </text>
    </comment>
    <comment ref="B45" authorId="0">
      <text>
        <r>
          <rPr>
            <sz val="10"/>
            <rFont val="Arial"/>
            <family val="2"/>
          </rPr>
          <t xml:space="preserve">Counterpoint (via Silicon Analysts): 21% no 1T CY26 e 18% no 2T CY26 (SK hynix ~50%); empresa: 'em linha com o share de DRAM' (~22-23%). Premissa 19-20%.</t>
        </r>
      </text>
    </comment>
    <comment ref="B49" authorId="0">
      <text>
        <r>
          <rPr>
            <sz val="10"/>
            <rFont val="Arial"/>
            <family val="2"/>
          </rPr>
          <t xml:space="preserve">Gestao (4T26): MB de HBM abaixo do DRAM convencional (CMBU 76-83% vs CDBU/MCBU 85-90%); contratos CY27 com alta de preco estreitam o gap. Premissa: 7 p.p. no FY27 convergindo a 1 p.p.</t>
        </r>
      </text>
    </comment>
    <comment ref="B60" authorId="0">
      <text>
        <r>
          <rPr>
            <sz val="10"/>
            <rFont val="Arial"/>
            <family val="2"/>
          </rPr>
          <t xml:space="preserve">Premissa FY27E-28E: mix do 4T26 (CMBU 30 / CDBU 33 / MCBU 24 / AEBU 13%) com CMBU (HBM e DRAM de cloud) ganhando ~2 p.p./ano e MCBU cedendo; CMBU+CDBU = 63% no 4T26 -&gt; 64-65%. Memo, nao alimenta a DRE.</t>
        </r>
      </text>
    </comment>
    <comment ref="F6" authorId="0">
      <text>
        <r>
          <rPr>
            <sz val="10"/>
            <rFont val="Arial"/>
            <family val="2"/>
          </rPr>
          <t xml:space="preserve">10-K FY25 (narrativa) | arredondado (17,60 bi) | estimativa</t>
        </r>
      </text>
    </comment>
    <comment ref="F7" authorId="0">
      <text>
        <r>
          <rPr>
            <sz val="10"/>
            <rFont val="Arial"/>
            <family val="2"/>
          </rPr>
          <t xml:space="preserve">10-K FY25 (narrativa) | arredondado (7,23 bi) | estimativa</t>
        </r>
      </text>
    </comment>
    <comment ref="H6" authorId="0">
      <text>
        <r>
          <rPr>
            <sz val="10"/>
            <rFont val="Arial"/>
            <family val="2"/>
          </rPr>
          <t xml:space="preserve">8-K / 10-Q / prepared remarks FY26 | soma dos quatro trimestres (10,8 + 18,8 + 31,3 + 39,8 bi, arredondados) | 10-K FY26 pendente; deck 4T26 via fonte secundaria indica 100.679</t>
        </r>
      </text>
    </comment>
    <comment ref="H7" authorId="0">
      <text>
        <r>
          <rPr>
            <sz val="10"/>
            <rFont val="Arial"/>
            <family val="2"/>
          </rPr>
          <t xml:space="preserve">8-K / 10-Q / prepared remarks FY26 | soma dos trimestres (2,7 + 5,0 + 9,9 + 14,1 bi) | deck 4T26 via fonte secundaria indica 31.785</t>
        </r>
      </text>
    </comment>
    <comment ref="H8" authorId="0">
      <text>
        <r>
          <rPr>
            <sz val="10"/>
            <rFont val="Arial"/>
            <family val="2"/>
          </rPr>
          <t xml:space="preserve">Derivado | 133.188 - 100.712 - 31.743</t>
        </r>
      </text>
    </comment>
    <comment ref="H34" authorId="0">
      <text>
        <r>
          <rPr>
            <sz val="10"/>
            <rFont val="Arial"/>
            <family val="2"/>
          </rPr>
          <t xml:space="preserve">FY26A residual: (LB reportado - MB DRAM x rec. DRAM - MB outros x rec. outros) / rec. NAND.</t>
        </r>
      </text>
    </comment>
    <comment ref="H55" authorId="0">
      <text>
        <r>
          <rPr>
            <sz val="10"/>
            <rFont val="Arial"/>
            <family val="2"/>
          </rPr>
          <t xml:space="preserve">Soma dos 4 trimestres do FY26 (8-K/press releases; 1T26 e parte do 2T26 arredondados dos prepared remarks)</t>
        </r>
      </text>
    </comment>
    <comment ref="H56" authorId="0">
      <text>
        <r>
          <rPr>
            <sz val="10"/>
            <rFont val="Arial"/>
            <family val="2"/>
          </rPr>
          <t xml:space="preserve">Soma dos 4 trimestres do FY26 (8-K/press releases; 1T26 e parte do 2T26 arredondados dos prepared remarks)</t>
        </r>
      </text>
    </comment>
    <comment ref="H57" authorId="0">
      <text>
        <r>
          <rPr>
            <sz val="10"/>
            <rFont val="Arial"/>
            <family val="2"/>
          </rPr>
          <t xml:space="preserve">Soma dos 4 trimestres do FY26 (8-K/press releases; 1T26 e parte do 2T26 arredondados dos prepared remarks)</t>
        </r>
      </text>
    </comment>
    <comment ref="H58" authorId="0">
      <text>
        <r>
          <rPr>
            <sz val="10"/>
            <rFont val="Arial"/>
            <family val="2"/>
          </rPr>
          <t xml:space="preserve">Soma dos 4 trimestres do FY26 (8-K/press releases; 1T26 e parte do 2T26 arredondados dos prepared remarks); AEBU ajustado em -1 para fechar com a receita reportada</t>
        </r>
      </text>
    </comment>
    <comment ref="I27" authorId="0">
      <text>
        <r>
          <rPr>
            <sz val="10"/>
            <rFont val="Arial"/>
            <family val="2"/>
          </rPr>
          <t xml:space="preserve">Indice de ASP DRAM (4T25 = 100) a partir das variacoes t/t dos 10-Q/press releases FY26 (+~20 / +mid-60s / +low-60s / +high-teens%): saida 4T26 = 379 vs media FY26 = 259 -&gt; +46% ja contratado se o preco ficasse parado.</t>
        </r>
      </text>
    </comment>
    <comment ref="I29" authorId="0">
      <text>
        <r>
          <rPr>
            <sz val="10"/>
            <rFont val="Arial"/>
            <family val="2"/>
          </rPr>
          <t xml:space="preserve">Indice de ASP NAND (4T25 = 100): +mid-teens / +high-70s / +mid-80s / +~30% t/t -&gt; saida 493 vs media 307 -&gt; +60% de carry-over.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42" authorId="0">
      <text>
        <r>
          <rPr>
            <sz val="10"/>
            <rFont val="Arial"/>
            <family val="2"/>
          </rPr>
          <t xml:space="preserve">10-K FY22 | base caixa (0,415); base declarada seria 0,315</t>
        </r>
      </text>
    </comment>
    <comment ref="E12" authorId="0">
      <text>
        <r>
          <rPr>
            <sz val="10"/>
            <rFont val="Arial"/>
            <family val="2"/>
          </rPr>
          <t xml:space="preserve">10-K FY23 | reestruturacao 171 + outros 124 | write-down de estoque de 1.831 esta no COGS</t>
        </r>
      </text>
    </comment>
    <comment ref="F38" authorId="0">
      <text>
        <r>
          <rPr>
            <sz val="10"/>
            <rFont val="Arial"/>
            <family val="2"/>
          </rPr>
          <t xml:space="preserve">8-K 4T24 | reportado como 1,47 bi (arredondado)</t>
        </r>
      </text>
    </comment>
    <comment ref="H12" authorId="0">
      <text>
        <r>
          <rPr>
            <sz val="10"/>
            <rFont val="Arial"/>
            <family val="2"/>
          </rPr>
          <t xml:space="preserve">8-K 30/set/26 | 'other operating (income) expense, net' 567 | reestruturacao nao aberta ate o 10-K</t>
        </r>
      </text>
    </comment>
    <comment ref="H21" authorId="0">
      <text>
        <r>
          <rPr>
            <sz val="10"/>
            <rFont val="Arial"/>
            <family val="2"/>
          </rPr>
          <t xml:space="preserve">Derivado | residual do LAIR | inclui ~511 de perda em pre-pagamento de divida (tender mar/26)</t>
        </r>
      </text>
    </comment>
    <comment ref="H42" authorId="0">
      <text>
        <r>
          <rPr>
            <sz val="10"/>
            <rFont val="Arial"/>
            <family val="2"/>
          </rPr>
          <t xml:space="preserve">8-K FY26 | soma das declaracoes trimestrais: 0,115 x 2 + 0,15 x 2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23" authorId="0">
      <text>
        <r>
          <rPr>
            <sz val="10"/>
            <rFont val="Arial"/>
            <family val="2"/>
          </rPr>
          <t xml:space="preserve">10-K | n.d. / imaterial (linha nao aberta ate o FY25)</t>
        </r>
      </text>
    </comment>
    <comment ref="D26" authorId="0">
      <text>
        <r>
          <rPr>
            <sz val="10"/>
            <rFont val="Arial"/>
            <family val="2"/>
          </rPr>
          <t xml:space="preserve">10-K | FY22-24: ativo total - passivo total (bate com terceiros)</t>
        </r>
      </text>
    </comment>
    <comment ref="G23" authorId="0">
      <text>
        <r>
          <rPr>
            <sz val="10"/>
            <rFont val="Arial"/>
            <family val="2"/>
          </rPr>
          <t xml:space="preserve">8-K 30/set/26 (coluna comparativa 28/ago/25) | 142 | reclassificado de 'outros passivos nao-circulantes' (10-Q mai/26 ainda agrupava)</t>
        </r>
      </text>
    </comment>
    <comment ref="G24" authorId="0">
      <text>
        <r>
          <rPr>
            <sz val="10"/>
            <rFont val="Arial"/>
            <family val="2"/>
          </rPr>
          <t xml:space="preserve">10-K FY25 | 3.162 - 142 reclassificados para depositos SCA</t>
        </r>
      </text>
    </comment>
    <comment ref="H14" authorId="0">
      <text>
        <r>
          <rPr>
            <sz val="10"/>
            <rFont val="Arial"/>
            <family val="2"/>
          </rPr>
          <t xml:space="preserve">8-K 30/set/26 | so goodwill (1.150) | intangiveis, ROU e DTA estao em 'outros ANC' no balanco condensado</t>
        </r>
      </text>
    </comment>
    <comment ref="H23" authorId="0">
      <text>
        <r>
          <rPr>
            <sz val="10"/>
            <rFont val="Arial"/>
            <family val="2"/>
          </rPr>
          <t xml:space="preserve">8-K 30/set/26 | 12.895 | depositos de clientes sob SCAs (12.747 recebidos no FY26, em financiamento); parcela corrente nao aberta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28" authorId="0">
      <text>
        <r>
          <rPr>
            <sz val="10"/>
            <rFont val="Arial"/>
            <family val="2"/>
          </rPr>
          <t xml:space="preserve">10-K FY22 | 35,4 mn acoes</t>
        </r>
      </text>
    </comment>
    <comment ref="E8" authorId="0">
      <text>
        <r>
          <rPr>
            <sz val="10"/>
            <rFont val="Arial"/>
            <family val="2"/>
          </rPr>
          <t xml:space="preserve">10-K FY23 | write-down de estoque 1.831 + impairment de goodwill 101</t>
        </r>
      </text>
    </comment>
    <comment ref="E29" authorId="0">
      <text>
        <r>
          <rPr>
            <sz val="10"/>
            <rFont val="Arial"/>
            <family val="2"/>
          </rPr>
          <t xml:space="preserve">10-K FY23 | emissao 6.716 - amortizacao 761</t>
        </r>
      </text>
    </comment>
    <comment ref="E38" authorId="0">
      <text>
        <r>
          <rPr>
            <sz val="10"/>
            <rFont val="Arial"/>
            <family val="2"/>
          </rPr>
          <t xml:space="preserve">Historico: link ao caixa e aplicacoes do BP (CP + LP). A variacao reportada no FC cobre so caixa e restrito; a compra liquida de aplicacoes esta na linha 'aplicacoes financeiras liquidas' - por isso o check historico compara a variacao calculada com a reportada.</t>
        </r>
      </text>
    </comment>
    <comment ref="H10" authorId="0">
      <text>
        <r>
          <rPr>
            <sz val="10"/>
            <rFont val="Arial"/>
            <family val="2"/>
          </rPr>
          <t xml:space="preserve">8-K 30/set/26 | residual ao FCO | igual a variacao de estoque no BP</t>
        </r>
      </text>
    </comment>
    <comment ref="H13" authorId="0">
      <text>
        <r>
          <rPr>
            <sz val="10"/>
            <rFont val="Arial"/>
            <family val="2"/>
          </rPr>
          <t xml:space="preserve">8-K 30/set/26 | outros passivos circulantes 3.141 + outros nao-circulantes 9.633 + demais</t>
        </r>
      </text>
    </comment>
    <comment ref="H17" authorId="0">
      <text>
        <r>
          <rPr>
            <sz val="10"/>
            <rFont val="Arial"/>
            <family val="2"/>
          </rPr>
          <t xml:space="preserve">8-K 30/set/26 | 'investments in capital expenditures, net' 27,37 bi | = PP&amp;E 30.712 - incentivos 3.316 - vendas de PP&amp;E</t>
        </r>
      </text>
    </comment>
    <comment ref="H28" authorId="0">
      <text>
        <r>
          <rPr>
            <sz val="10"/>
            <rFont val="Arial"/>
            <family val="2"/>
          </rPr>
          <t xml:space="preserve">8-K FY26 | 650 | restricao CHIPS ate 9-dez-26 (so offset de diluicao)</t>
        </r>
      </text>
    </comment>
    <comment ref="H29" authorId="0">
      <text>
        <r>
          <rPr>
            <sz val="10"/>
            <rFont val="Arial"/>
            <family val="2"/>
          </rPr>
          <t xml:space="preserve">8-K FY26 | sem emissao; 10.043 de amortizacao | tender de 5,4 bi em abr/26, TLA, notas 2028-2030</t>
        </r>
      </text>
    </comment>
    <comment ref="H30" authorId="0">
      <text>
        <r>
          <rPr>
            <sz val="10"/>
            <rFont val="Arial"/>
            <family val="2"/>
          </rPr>
          <t xml:space="preserve">8-K FY26 | 12.747 | depositos sob SCAs, classificados em financiamento (fora do FCF ajustado)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B47" authorId="0">
      <text>
        <r>
          <rPr>
            <sz val="10"/>
            <rFont val="Arial"/>
            <family val="2"/>
          </rPr>
          <t xml:space="preserve">Recompras = caixa inicial + FCF - dividendos +/- divida, depositos SCA e outros - caixa alvo (Premissas). Nos anos de ajuste as recompras caem com o FCF mas continuam (contra-ciclicas) porque o caixa alvo e fixo; o preco medio de recompra (Premissas) so afeta a contagem de acoes.</t>
        </r>
      </text>
    </comment>
    <comment ref="B79" authorId="0">
      <text>
        <r>
          <rPr>
            <sz val="10"/>
            <rFont val="Arial"/>
            <family val="2"/>
          </rPr>
          <t xml:space="preserve">Moody's: investing.com 08/jan/26 (Baa3 -&gt; Baa2). S&amp;P: cbonds.com/news/3941503. Fitch: cbonds.com/news/3712191 (dez/25). Rating live da Fitch nao encontrado na pesquisa de out/26.</t>
        </r>
      </text>
    </comment>
    <comment ref="E65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66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67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68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69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70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71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72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73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E74" authorId="0">
      <text>
        <r>
          <rPr>
            <sz val="10"/>
            <rFont val="Arial"/>
            <family val="2"/>
          </rPr>
          <t xml:space="preserve">10-Q 28/mai/26 | valor contabil</t>
        </r>
      </text>
    </comment>
    <comment ref="F77" authorId="0">
      <text>
        <r>
          <rPr>
            <sz val="10"/>
            <rFont val="Arial"/>
            <family val="2"/>
          </rPr>
          <t xml:space="preserve">A queda de 5.722 (mai/26) para 5.179 (set/26) = ~0,3 bi de resgate de notas (serie nao identificada) + amortizacao de leases; sem detalhe por instrumento ate o 10-K FY26, o saldo e rateado proporcionalmente.</t>
        </r>
      </text>
    </comment>
    <comment ref="H53" authorId="0">
      <text>
        <r>
          <rPr>
            <sz val="10"/>
            <rFont val="Arial"/>
            <family val="2"/>
          </rPr>
          <t xml:space="preserve">Ponto de partida FY27: media diluida do 4T26 (1.147 mn, 8-K 30/set/26); guia 1T27 ~1.150 mn. Mesma base usada em mkt cap, EV e valor por acao.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I30" authorId="0">
      <text>
        <r>
          <rPr>
            <sz val="10"/>
            <rFont val="Arial"/>
            <family val="2"/>
          </rPr>
          <t xml:space="preserve">Divida 5.179 + depositos de clientes sob SCAs 12.895 (passivo contratual: a receita futura coberta por eles nao vira caixa, e o FCFF nao captura o consumo). Tratados como divida-like; cronograma de consumo no Suporte (f).</t>
        </r>
      </text>
    </comment>
    <comment ref="N16" authorId="0">
      <text>
        <r>
          <rPr>
            <sz val="10"/>
            <rFont val="Arial"/>
            <family val="2"/>
          </rPr>
          <t xml:space="preserve">Regime permanente: investimento em NWC = % da receita incremental x receita normalizada x g (uso de caixa perpetuado no TV). A liberacao pontual do ajuste FY31E -&gt; normalizado nao entra no fluxo perpetuado.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27" authorId="0">
      <text>
        <r>
          <rPr>
            <sz val="10"/>
            <rFont val="Arial"/>
            <family val="2"/>
          </rPr>
          <t xml:space="preserve">KRW 2026-10-06 | https://stockanalysis.com/quote/krx/005930/</t>
        </r>
      </text>
    </comment>
    <comment ref="D28" authorId="0">
      <text>
        <r>
          <rPr>
            <sz val="10"/>
            <rFont val="Arial"/>
            <family val="2"/>
          </rPr>
          <t xml:space="preserve">KRW 2026-10-06 | https://stockanalysis.com/quote/krx/000660/market-cap/</t>
        </r>
      </text>
    </comment>
    <comment ref="D29" authorId="0">
      <text>
        <r>
          <rPr>
            <sz val="10"/>
            <rFont val="Arial"/>
            <family val="2"/>
          </rPr>
          <t xml:space="preserve">JPY 2026-10-06 | https://www.investing.com/equities/kioxia-holdings-historical-data</t>
        </r>
      </text>
    </comment>
    <comment ref="D30" authorId="0">
      <text>
        <r>
          <rPr>
            <sz val="10"/>
            <rFont val="Arial"/>
            <family val="2"/>
          </rPr>
          <t xml:space="preserve">USD 2026-10-06 | https://www.morningstar.com/stocks/xnas/sndk/quote</t>
        </r>
      </text>
    </comment>
    <comment ref="D37" authorId="0">
      <text>
        <r>
          <rPr>
            <sz val="10"/>
            <rFont val="Arial"/>
            <family val="2"/>
          </rPr>
          <t xml:space="preserve">USD 2026-10-06 | https://stockanalysis.com/stocks/nvda/</t>
        </r>
      </text>
    </comment>
    <comment ref="D38" authorId="0">
      <text>
        <r>
          <rPr>
            <sz val="10"/>
            <rFont val="Arial"/>
            <family val="2"/>
          </rPr>
          <t xml:space="preserve">USD 2026-10-06 | https://www.marketbeat.com/instant-alerts/price-western-digital-nasdaq-wdc-stock-price-down-69-time-to-sell-2026-10-06/</t>
        </r>
      </text>
    </comment>
    <comment ref="E27" authorId="0">
      <text>
        <r>
          <rPr>
            <sz val="10"/>
            <rFont val="Arial"/>
            <family val="2"/>
          </rPr>
          <t xml:space="preserve">derivado (FX 06/out/26) | https://stockanalysis.com/quote/krx/005930/</t>
        </r>
      </text>
    </comment>
    <comment ref="E28" authorId="0">
      <text>
        <r>
          <rPr>
            <sz val="10"/>
            <rFont val="Arial"/>
            <family val="2"/>
          </rPr>
          <t xml:space="preserve">derivado (FX 06/out/26) | https://stockanalysis.com/quote/krx/000660/market-cap/</t>
        </r>
      </text>
    </comment>
    <comment ref="E29" authorId="0">
      <text>
        <r>
          <rPr>
            <sz val="10"/>
            <rFont val="Arial"/>
            <family val="2"/>
          </rPr>
          <t xml:space="preserve">derivado (FX 06/out/26) | https://stockanalysis.com/quote/tyo/285A/</t>
        </r>
      </text>
    </comment>
    <comment ref="E30" authorId="0">
      <text>
        <r>
          <rPr>
            <sz val="10"/>
            <rFont val="Arial"/>
            <family val="2"/>
          </rPr>
          <t xml:space="preserve">https://www.cnn.com/markets/stocks/SNDK</t>
        </r>
      </text>
    </comment>
    <comment ref="E37" authorId="0">
      <text>
        <r>
          <rPr>
            <sz val="10"/>
            <rFont val="Arial"/>
            <family val="2"/>
          </rPr>
          <t xml:space="preserve">https://stockanalysis.com/stocks/nvda/</t>
        </r>
      </text>
    </comment>
    <comment ref="E38" authorId="0">
      <text>
        <r>
          <rPr>
            <sz val="10"/>
            <rFont val="Arial"/>
            <family val="2"/>
          </rPr>
          <t xml:space="preserve">https://www.morningstar.com/stocks/xnas/wdc/quote</t>
        </r>
      </text>
    </comment>
    <comment ref="F38" authorId="0">
      <text>
        <r>
          <rPr>
            <sz val="10"/>
            <rFont val="Arial"/>
            <family val="2"/>
          </rPr>
          <t xml:space="preserve">EV de 24/ago/26 (165,1 bi, preco ~450) descartado: preco caiu para 411,04 e a divida liquida do ultimo 10-Q nao foi obtida -&gt; n.d.</t>
        </r>
      </text>
    </comment>
    <comment ref="G27" authorId="0">
      <text>
        <r>
          <rPr>
            <sz val="10"/>
            <rFont val="Arial"/>
            <family val="2"/>
          </rPr>
          <t xml:space="preserve">12M forward PER (FnGuide, undated, ~early Oct-26); g-enews 9/23/26: fwd PER 5.5x; FnGuide 2026E PER 5.18 | https://comp.fnguide.com/SVO2/asp/SVD_Consensus.asp?gicode=A005930</t>
        </r>
      </text>
    </comment>
    <comment ref="G28" authorId="0">
      <text>
        <r>
          <rPr>
            <sz val="10"/>
            <rFont val="Arial"/>
            <family val="2"/>
          </rPr>
          <t xml:space="preserve">marketscreener P/E 2026E 4.88x / 2027E 3.61x at 10/07 close 1,723,000 (cap 1,255.8tn); at 10/06 close ~5.0x/3.7x | https://www.marketscreener.com/quote/stock/SK-HYNIX-INC-6494929/</t>
        </r>
      </text>
    </comment>
    <comment ref="G29" authorId="0">
      <text>
        <r>
          <rPr>
            <sz val="10"/>
            <rFont val="Arial"/>
            <family val="2"/>
          </rPr>
          <t xml:space="preserve">https://stockanalysis.com/quote/tyo/285A/</t>
        </r>
      </text>
    </comment>
    <comment ref="G30" authorId="0">
      <text>
        <r>
          <rPr>
            <sz val="10"/>
            <rFont val="Arial"/>
            <family val="2"/>
          </rPr>
          <t xml:space="preserve">stockanalysis 10/05 (yahoo 8.04; finviz 6.52; marketscreener FY27 7.97x) | https://stockanalysis.com/stocks/sndk/financials/ratios/</t>
        </r>
      </text>
    </comment>
    <comment ref="G37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G38" authorId="0">
      <text>
        <r>
          <rPr>
            <sz val="10"/>
            <rFont val="Arial"/>
            <family val="2"/>
          </rPr>
          <t xml:space="preserve">CNBC NTM P/E on 10/06 intraday; gurufocus 20.0x; FY27E EPS 20.09 -&gt; 20.5x at 411.04 | https://www.cnbc.com/quotes/WDC</t>
        </r>
      </text>
    </comment>
    <comment ref="H27" authorId="0">
      <text>
        <r>
          <rPr>
            <sz val="10"/>
            <rFont val="Arial"/>
            <family val="2"/>
          </rPr>
          <t xml:space="preserve">trailing PER per Korean data vendor (undated); gurufocus TTM 22.85 at 285,000 (Jul-26) is on older EPS | https://comp.fnguide.com/SVO2/asp/SVD_Consensus.asp?gicode=A005930</t>
        </r>
      </text>
    </comment>
    <comment ref="H28" authorId="0">
      <text>
        <r>
          <rPr>
            <sz val="10"/>
            <rFont val="Arial"/>
            <family val="2"/>
          </rPr>
          <t xml:space="preserve">stockopedia 4.21 does not reconcile with its own EPS -&gt; not used</t>
        </r>
      </text>
    </comment>
    <comment ref="H29" authorId="0">
      <text>
        <r>
          <rPr>
            <sz val="10"/>
            <rFont val="Arial"/>
            <family val="2"/>
          </rPr>
          <t xml:space="preserve">https://finance.yahoo.com/quote/285A.T/</t>
        </r>
      </text>
    </comment>
    <comment ref="H30" authorId="0">
      <text>
        <r>
          <rPr>
            <sz val="10"/>
            <rFont val="Arial"/>
            <family val="2"/>
          </rPr>
          <t xml:space="preserve">https://stockanalysis.com/stocks/sndk/financials/ratios/</t>
        </r>
      </text>
    </comment>
    <comment ref="H37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H38" authorId="0">
      <text>
        <r>
          <rPr>
            <sz val="10"/>
            <rFont val="Arial"/>
            <family val="2"/>
          </rPr>
          <t xml:space="preserve">https://www.gurufocus.com/term/forward-pe-ratio/WDC</t>
        </r>
      </text>
    </comment>
    <comment ref="I30" authorId="0">
      <text>
        <r>
          <rPr>
            <sz val="10"/>
            <rFont val="Arial"/>
            <family val="2"/>
          </rPr>
          <t xml:space="preserve">marketscreener FY27E (Jul-27) 5.58x, FY26 19.7x, FY28E 4.07x; snapshot 2026-09-04 at ~1,740 (stock now lower -&gt; ~5.3x) | https://www.marketscreener.com/quote/stock/SANDISK-CORPORATION-182801077/valuation/</t>
        </r>
      </text>
    </comment>
    <comment ref="J28" authorId="0">
      <text>
        <r>
          <rPr>
            <sz val="10"/>
            <rFont val="Arial"/>
            <family val="2"/>
          </rPr>
          <t xml:space="preserve">https://www.stockopedia.com/share-prices/sk-hynix-KRX:000660/</t>
        </r>
      </text>
    </comment>
    <comment ref="J29" authorId="0">
      <text>
        <r>
          <rPr>
            <sz val="10"/>
            <rFont val="Arial"/>
            <family val="2"/>
          </rPr>
          <t xml:space="preserve">undated; yahoo TTM EBITDA JPY 2.37tn consistent (~13.4x at 31.7tn EV) | https://www.stockopedia.com/share-prices/kioxia-holdings-TYO:285A/</t>
        </r>
      </text>
    </comment>
    <comment ref="J30" authorId="0">
      <text>
        <r>
          <rPr>
            <sz val="10"/>
            <rFont val="Arial"/>
            <family val="2"/>
          </rPr>
          <t xml:space="preserve">https://stockanalysis.com/stocks/sndk/financials/ratios/</t>
        </r>
      </text>
    </comment>
    <comment ref="J37" authorId="0">
      <text>
        <r>
          <rPr>
            <sz val="10"/>
            <rFont val="Arial"/>
            <family val="2"/>
          </rPr>
          <t xml:space="preserve">https://stockanalysis.com/stocks/nvda/statistics/</t>
        </r>
      </text>
    </comment>
    <comment ref="J38" authorId="0">
      <text>
        <r>
          <rPr>
            <sz val="10"/>
            <rFont val="Arial"/>
            <family val="2"/>
          </rPr>
          <t xml:space="preserve">Multiplo calculado sobre o EV defasado de 24/ago/26 -&gt; n.d.</t>
        </r>
      </text>
    </comment>
    <comment ref="K27" authorId="0">
      <text>
        <r>
          <rPr>
            <sz val="10"/>
            <rFont val="Arial"/>
            <family val="2"/>
          </rPr>
          <t xml:space="preserve">stockopedia trailing P/B 3.0 at ref price 258,500 (undated); Korean vendor trailing PBR 3.24; FnGuide 2026E PBR 2.29 | https://www.stockopedia.com/share-prices/samsung-electronics-co-KRX:005930/</t>
        </r>
      </text>
    </comment>
    <comment ref="K28" authorId="0">
      <text>
        <r>
          <rPr>
            <sz val="10"/>
            <rFont val="Arial"/>
            <family val="2"/>
          </rPr>
          <t xml:space="preserve">stockopedia trailing (undated); investing.com BVPS 370,439 -&gt; 4.8x at 10/06 close | https://www.stockopedia.com/share-prices/sk-hynix-KRX:000660/</t>
        </r>
      </text>
    </comment>
    <comment ref="K29" authorId="0">
      <text>
        <r>
          <rPr>
            <sz val="10"/>
            <rFont val="Arial"/>
            <family val="2"/>
          </rPr>
          <t xml:space="preserve">undated trailing; stockanalysis older 21.94 (stale) | https://www.stockopedia.com/share-prices/kioxia-holdings-TYO:285A/</t>
        </r>
      </text>
    </comment>
    <comment ref="K37" authorId="0">
      <text>
        <r>
          <rPr>
            <sz val="10"/>
            <rFont val="Arial"/>
            <family val="2"/>
          </rPr>
          <t xml:space="preserve">https://www.gurufocus.com/term/pb-ratio/NVDA</t>
        </r>
      </text>
    </comment>
    <comment ref="K38" authorId="0">
      <text>
        <r>
          <rPr>
            <sz val="10"/>
            <rFont val="Arial"/>
            <family val="2"/>
          </rPr>
          <t xml:space="preserve">https://www.heygotrade.com/en/us-stock/wdc/</t>
        </r>
      </text>
    </comment>
    <comment ref="L31" authorId="0">
      <text>
        <r>
          <rPr>
            <sz val="10"/>
            <rFont val="Arial"/>
            <family val="2"/>
          </rPr>
          <t xml:space="preserve">n de observacoes do P/E fwd; media/mediana mostram n.d. quando ha menos de 3 observacoes na coluna</t>
        </r>
      </text>
    </comment>
    <comment ref="L32" authorId="0">
      <text>
        <r>
          <rPr>
            <sz val="10"/>
            <rFont val="Arial"/>
            <family val="2"/>
          </rPr>
          <t xml:space="preserve">n de observacoes do EV/EBITDA fwd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LF</author>
  </authors>
  <commentList>
    <comment ref="D6" authorId="0">
      <text>
        <r>
          <rPr>
            <sz val="10"/>
            <rFont val="Arial"/>
            <family val="2"/>
          </rPr>
          <t xml:space="preserve">Derivado | DRAM 2T24 (~4.200) / (1+21% t/t) dos prepared remarks 2T24 | split em US$ do 1T24 nao divulgado</t>
        </r>
      </text>
    </comment>
    <comment ref="D7" authorId="0">
      <text>
        <r>
          <rPr>
            <sz val="10"/>
            <rFont val="Arial"/>
            <family val="2"/>
          </rPr>
          <t xml:space="preserve">Derivado | NAND 2T24 (~1.600) / (1+27% t/t) dos prepared remarks 2T24 | idem</t>
        </r>
      </text>
    </comment>
    <comment ref="D9" authorId="0">
      <text>
        <r>
          <rPr>
            <sz val="10"/>
            <rFont val="Arial"/>
            <family val="2"/>
          </rPr>
          <t xml:space="preserve">8-K 1T24 | LB (35) / receita 4.726</t>
        </r>
      </text>
    </comment>
    <comment ref="D10" authorId="0">
      <text>
        <r>
          <rPr>
            <sz val="10"/>
            <rFont val="Arial"/>
            <family val="2"/>
          </rPr>
          <t xml:space="preserve">8-K 2T24 (coluna comparativa) | LB non-GAAP 37 / 4.726</t>
        </r>
      </text>
    </comment>
    <comment ref="D13" authorId="0">
      <text>
        <r>
          <rPr>
            <sz val="10"/>
            <rFont val="Arial"/>
            <family val="2"/>
          </rPr>
          <t xml:space="preserve">8-K 1T24 | arredondado (1,05 bi)</t>
        </r>
      </text>
    </comment>
    <comment ref="D16" authorId="0">
      <text>
        <r>
          <rPr>
            <sz val="10"/>
            <rFont val="Arial"/>
            <family val="2"/>
          </rPr>
          <t xml:space="preserve">Derivado | LL GAAP / EPS GAAP</t>
        </r>
      </text>
    </comment>
    <comment ref="D58" authorId="0">
      <text>
        <r>
          <rPr>
            <sz val="10"/>
            <rFont val="Arial"/>
            <family val="2"/>
          </rPr>
          <t xml:space="preserve">MB sobe linearmente a partir do piso guiado do 1T27 (CFO: 1T27 e o ponto baixo do FY27); o passo e o que amarra a media ponderada do ano a MB FY27E da DRE.</t>
        </r>
      </text>
    </comment>
    <comment ref="E6" authorId="0">
      <text>
        <r>
          <rPr>
            <sz val="10"/>
            <rFont val="Arial"/>
            <family val="2"/>
          </rPr>
          <t xml:space="preserve">Prepared remarks 2T24 | ~4,2 bi, 71% da receita | arredondado</t>
        </r>
      </text>
    </comment>
    <comment ref="E7" authorId="0">
      <text>
        <r>
          <rPr>
            <sz val="10"/>
            <rFont val="Arial"/>
            <family val="2"/>
          </rPr>
          <t xml:space="preserve">Prepared remarks 2T24 | ~1,6 bi, 27% da receita | arredondado</t>
        </r>
      </text>
    </comment>
    <comment ref="E9" authorId="0">
      <text>
        <r>
          <rPr>
            <sz val="10"/>
            <rFont val="Arial"/>
            <family val="2"/>
          </rPr>
          <t xml:space="preserve">8-K 2T24 | 1.079 / 5.824</t>
        </r>
      </text>
    </comment>
    <comment ref="E10" authorId="0">
      <text>
        <r>
          <rPr>
            <sz val="10"/>
            <rFont val="Arial"/>
            <family val="2"/>
          </rPr>
          <t xml:space="preserve">8-K 2T24 | 1.163 / 5.824 (remarks: 20%)</t>
        </r>
      </text>
    </comment>
    <comment ref="E11" authorId="0">
      <text>
        <r>
          <rPr>
            <sz val="10"/>
            <rFont val="Arial"/>
            <family val="2"/>
          </rPr>
          <t xml:space="preserve">Derivado | LB non-GAAP 1.163 - EBIT non-GAAP 204</t>
        </r>
      </text>
    </comment>
    <comment ref="E16" authorId="0">
      <text>
        <r>
          <rPr>
            <sz val="10"/>
            <rFont val="Arial"/>
            <family val="2"/>
          </rPr>
          <t xml:space="preserve">Derivado | LL GAAP / EPS GAAP</t>
        </r>
      </text>
    </comment>
    <comment ref="E37" authorId="0">
      <text>
        <r>
          <rPr>
            <sz val="10"/>
            <rFont val="Arial"/>
            <family val="2"/>
          </rPr>
          <t xml:space="preserve">10-Q 2T24 | tabela de segmentos (CNBU 2.185 / MBU 1.598 / EBU 1.111 / SBU 905)</t>
        </r>
      </text>
    </comment>
    <comment ref="E38" authorId="0">
      <text>
        <r>
          <rPr>
            <sz val="10"/>
            <rFont val="Arial"/>
            <family val="2"/>
          </rPr>
          <t xml:space="preserve">10-Q 2T24 | tabela de segmentos (CNBU 2.185 / MBU 1.598 / EBU 1.111 / SBU 905)</t>
        </r>
      </text>
    </comment>
    <comment ref="E39" authorId="0">
      <text>
        <r>
          <rPr>
            <sz val="10"/>
            <rFont val="Arial"/>
            <family val="2"/>
          </rPr>
          <t xml:space="preserve">10-Q 2T24 | tabela de segmentos (CNBU 2.185 / MBU 1.598 / EBU 1.111 / SBU 905)</t>
        </r>
      </text>
    </comment>
    <comment ref="E40" authorId="0">
      <text>
        <r>
          <rPr>
            <sz val="10"/>
            <rFont val="Arial"/>
            <family val="2"/>
          </rPr>
          <t xml:space="preserve">10-Q 2T24 | tabela de segmentos (CNBU 2.185 / MBU 1.598 / EBU 1.111 / SBU 905)</t>
        </r>
      </text>
    </comment>
    <comment ref="E59" authorId="0">
      <text>
        <r>
          <rPr>
            <sz val="10"/>
            <rFont val="Arial"/>
            <family val="2"/>
          </rPr>
          <t xml:space="preserve">EPS trimestral = EPS FY27E x peso do EBIT do trimestre (acoes medias do ano em todos os trimestres): o 1T27E sai um pouco acima do guia porque a base de acoes cai ao longo do ano.</t>
        </r>
      </text>
    </comment>
    <comment ref="F6" authorId="0">
      <text>
        <r>
          <rPr>
            <sz val="10"/>
            <rFont val="Arial"/>
            <family val="2"/>
          </rPr>
          <t xml:space="preserve">Apresentacao de resultados 3T24 | ~4,7 bi, 69% da receita | arredondado</t>
        </r>
      </text>
    </comment>
    <comment ref="F7" authorId="0">
      <text>
        <r>
          <rPr>
            <sz val="10"/>
            <rFont val="Arial"/>
            <family val="2"/>
          </rPr>
          <t xml:space="preserve">Apresentacao de resultados 3T24 | ~2,1 bi, 30% da receita | arredondado</t>
        </r>
      </text>
    </comment>
    <comment ref="F9" authorId="0">
      <text>
        <r>
          <rPr>
            <sz val="10"/>
            <rFont val="Arial"/>
            <family val="2"/>
          </rPr>
          <t xml:space="preserve">8-K 3T24 | 1.832 / 6.811</t>
        </r>
      </text>
    </comment>
    <comment ref="F11" authorId="0">
      <text>
        <r>
          <rPr>
            <sz val="10"/>
            <rFont val="Arial"/>
            <family val="2"/>
          </rPr>
          <t xml:space="preserve">Derivado | 28,1% x 6.811 - 941</t>
        </r>
      </text>
    </comment>
    <comment ref="F16" authorId="0">
      <text>
        <r>
          <rPr>
            <sz val="10"/>
            <rFont val="Arial"/>
            <family val="2"/>
          </rPr>
          <t xml:space="preserve">Derivado | LL non-GAAP / EPS non-GAAP</t>
        </r>
      </text>
    </comment>
    <comment ref="F37" authorId="0">
      <text>
        <r>
          <rPr>
            <sz val="10"/>
            <rFont val="Arial"/>
            <family val="2"/>
          </rPr>
          <t xml:space="preserve">Apresentacao 3T24 | arredondado (CNBU 2,57 / MBU 1,59 / EBU 1,29 / SBU 1,35 bi)</t>
        </r>
      </text>
    </comment>
    <comment ref="F38" authorId="0">
      <text>
        <r>
          <rPr>
            <sz val="10"/>
            <rFont val="Arial"/>
            <family val="2"/>
          </rPr>
          <t xml:space="preserve">Apresentacao 3T24 | arredondado (CNBU 2,57 / MBU 1,59 / EBU 1,29 / SBU 1,35 bi)</t>
        </r>
      </text>
    </comment>
    <comment ref="F39" authorId="0">
      <text>
        <r>
          <rPr>
            <sz val="10"/>
            <rFont val="Arial"/>
            <family val="2"/>
          </rPr>
          <t xml:space="preserve">Apresentacao 3T24 | arredondado (CNBU 2,57 / MBU 1,59 / EBU 1,29 / SBU 1,35 bi)</t>
        </r>
      </text>
    </comment>
    <comment ref="F40" authorId="0">
      <text>
        <r>
          <rPr>
            <sz val="10"/>
            <rFont val="Arial"/>
            <family val="2"/>
          </rPr>
          <t xml:space="preserve">Apresentacao 3T24 | arredondado (CNBU 2,57 / MBU 1,59 / EBU 1,29 / SBU 1,35 bi)</t>
        </r>
      </text>
    </comment>
    <comment ref="G6" authorId="0">
      <text>
        <r>
          <rPr>
            <sz val="10"/>
            <rFont val="Arial"/>
            <family val="2"/>
          </rPr>
          <t xml:space="preserve">Resumo da call 4T24 (fonte secundaria) | ~5,3 bi (+93% a/a) | conferir no 10-K FY24</t>
        </r>
      </text>
    </comment>
    <comment ref="G7" authorId="0">
      <text>
        <r>
          <rPr>
            <sz val="10"/>
            <rFont val="Arial"/>
            <family val="2"/>
          </rPr>
          <t xml:space="preserve">Resumo da call 4T24 (fonte secundaria) | ~2,4 bi (+96% a/a) | conferir no 10-K FY24</t>
        </r>
      </text>
    </comment>
    <comment ref="G9" authorId="0">
      <text>
        <r>
          <rPr>
            <sz val="10"/>
            <rFont val="Arial"/>
            <family val="2"/>
          </rPr>
          <t xml:space="preserve">8-K 4T24 | 2.737 / 7.750</t>
        </r>
      </text>
    </comment>
    <comment ref="G11" authorId="0">
      <text>
        <r>
          <rPr>
            <sz val="10"/>
            <rFont val="Arial"/>
            <family val="2"/>
          </rPr>
          <t xml:space="preserve">Derivado | 36,5% x 7.750 - 1.745</t>
        </r>
      </text>
    </comment>
    <comment ref="G12" authorId="0">
      <text>
        <r>
          <rPr>
            <sz val="10"/>
            <rFont val="Arial"/>
            <family val="2"/>
          </rPr>
          <t xml:space="preserve">8-K 4T25 (coluna comparativa) | 1.745</t>
        </r>
      </text>
    </comment>
    <comment ref="G16" authorId="0">
      <text>
        <r>
          <rPr>
            <sz val="10"/>
            <rFont val="Arial"/>
            <family val="2"/>
          </rPr>
          <t xml:space="preserve">Derivado | LL GAAP / EPS GAAP</t>
        </r>
      </text>
    </comment>
    <comment ref="G20" authorId="0">
      <text>
        <r>
          <rPr>
            <sz val="10"/>
            <rFont val="Arial"/>
            <family val="2"/>
          </rPr>
          <t xml:space="preserve">Resumo da call 4T24 (fonte secundaria) | ~13,4 bi | conferir no 10-K FY24</t>
        </r>
      </text>
    </comment>
    <comment ref="G21" authorId="0">
      <text>
        <r>
          <rPr>
            <sz val="10"/>
            <rFont val="Arial"/>
            <family val="2"/>
          </rPr>
          <t xml:space="preserve">Resumo da call 4T24 (fonte secundaria) | 158 dias</t>
        </r>
      </text>
    </comment>
    <comment ref="H6" authorId="0">
      <text>
        <r>
          <rPr>
            <sz val="10"/>
            <rFont val="Arial"/>
            <family val="2"/>
          </rPr>
          <t xml:space="preserve">Prepared remarks 1T25 | 6,4 bi, 73% da receita | arredondado</t>
        </r>
      </text>
    </comment>
    <comment ref="H7" authorId="0">
      <text>
        <r>
          <rPr>
            <sz val="10"/>
            <rFont val="Arial"/>
            <family val="2"/>
          </rPr>
          <t xml:space="preserve">Prepared remarks 1T25 | 2,2 bi, 26% da receita | arredondado</t>
        </r>
      </text>
    </comment>
    <comment ref="H9" authorId="0">
      <text>
        <r>
          <rPr>
            <sz val="10"/>
            <rFont val="Arial"/>
            <family val="2"/>
          </rPr>
          <t xml:space="preserve">8-K 1T25 | 3.348 / 8.709</t>
        </r>
      </text>
    </comment>
    <comment ref="H11" authorId="0">
      <text>
        <r>
          <rPr>
            <sz val="10"/>
            <rFont val="Arial"/>
            <family val="2"/>
          </rPr>
          <t xml:space="preserve">Derivado | 3.441 - 2.394 (remarks: 1,05 bi)</t>
        </r>
      </text>
    </comment>
    <comment ref="H16" authorId="0">
      <text>
        <r>
          <rPr>
            <sz val="10"/>
            <rFont val="Arial"/>
            <family val="2"/>
          </rPr>
          <t xml:space="preserve">Derivado | LL non-GAAP / EPS non-GAAP</t>
        </r>
      </text>
    </comment>
    <comment ref="H37" authorId="0">
      <text>
        <r>
          <rPr>
            <sz val="10"/>
            <rFont val="Arial"/>
            <family val="2"/>
          </rPr>
          <t xml:space="preserve">10-Q 2T25 (comparativo) | CNBU e MBU; EBU/SBU nao abertos (soma 2.787)</t>
        </r>
      </text>
    </comment>
    <comment ref="H38" authorId="0">
      <text>
        <r>
          <rPr>
            <sz val="10"/>
            <rFont val="Arial"/>
            <family val="2"/>
          </rPr>
          <t xml:space="preserve">10-Q 2T25 (comparativo) | CNBU e MBU; EBU/SBU nao abertos (soma 2.787)</t>
        </r>
      </text>
    </comment>
    <comment ref="I6" authorId="0">
      <text>
        <r>
          <rPr>
            <sz val="10"/>
            <rFont val="Arial"/>
            <family val="2"/>
          </rPr>
          <t xml:space="preserve">Prepared remarks 2T25 | 6,1 bi, 76% da receita | arredondado</t>
        </r>
      </text>
    </comment>
    <comment ref="I7" authorId="0">
      <text>
        <r>
          <rPr>
            <sz val="10"/>
            <rFont val="Arial"/>
            <family val="2"/>
          </rPr>
          <t xml:space="preserve">Prepared remarks 2T25 | 1,9 bi, 23% da receita | arredondado</t>
        </r>
      </text>
    </comment>
    <comment ref="I9" authorId="0">
      <text>
        <r>
          <rPr>
            <sz val="10"/>
            <rFont val="Arial"/>
            <family val="2"/>
          </rPr>
          <t xml:space="preserve">8-K 2T25 | 2.963 / 8.053</t>
        </r>
      </text>
    </comment>
    <comment ref="I10" authorId="0">
      <text>
        <r>
          <rPr>
            <sz val="10"/>
            <rFont val="Arial"/>
            <family val="2"/>
          </rPr>
          <t xml:space="preserve">8-K 2T25 | 3.053 / 8.053 (remarks: 37,9%)</t>
        </r>
      </text>
    </comment>
    <comment ref="I12" authorId="0">
      <text>
        <r>
          <rPr>
            <sz val="10"/>
            <rFont val="Arial"/>
            <family val="2"/>
          </rPr>
          <t xml:space="preserve">Derivado | 3.053 - 1.046</t>
        </r>
      </text>
    </comment>
    <comment ref="I16" authorId="0">
      <text>
        <r>
          <rPr>
            <sz val="10"/>
            <rFont val="Arial"/>
            <family val="2"/>
          </rPr>
          <t xml:space="preserve">Derivado | LL non-GAAP / EPS non-GAAP</t>
        </r>
      </text>
    </comment>
    <comment ref="J6" authorId="0">
      <text>
        <r>
          <rPr>
            <sz val="10"/>
            <rFont val="Arial"/>
            <family val="2"/>
          </rPr>
          <t xml:space="preserve">Prepared remarks 3T25 | 7,1 bi, 76% da receita | arredondado</t>
        </r>
      </text>
    </comment>
    <comment ref="J7" authorId="0">
      <text>
        <r>
          <rPr>
            <sz val="10"/>
            <rFont val="Arial"/>
            <family val="2"/>
          </rPr>
          <t xml:space="preserve">Prepared remarks 3T25 | 2,2 bi, 23% da receita | arredondado</t>
        </r>
      </text>
    </comment>
    <comment ref="J9" authorId="0">
      <text>
        <r>
          <rPr>
            <sz val="10"/>
            <rFont val="Arial"/>
            <family val="2"/>
          </rPr>
          <t xml:space="preserve">8-K 3T25 | 3.508 / 9.301</t>
        </r>
      </text>
    </comment>
    <comment ref="J16" authorId="0">
      <text>
        <r>
          <rPr>
            <sz val="10"/>
            <rFont val="Arial"/>
            <family val="2"/>
          </rPr>
          <t xml:space="preserve">8-K 3T26 (coluna ano anterior) | 1.125; bate com LL/EPS GAAP (1.890 / 1,68)</t>
        </r>
      </text>
    </comment>
    <comment ref="J17" authorId="0">
      <text>
        <r>
          <rPr>
            <sz val="10"/>
            <rFont val="Arial"/>
            <family val="2"/>
          </rPr>
          <t xml:space="preserve">Prepared remarks 3T25 | 2,7 bi | arredondado</t>
        </r>
      </text>
    </comment>
    <comment ref="J18" authorId="0">
      <text>
        <r>
          <rPr>
            <sz val="10"/>
            <rFont val="Arial"/>
            <family val="2"/>
          </rPr>
          <t xml:space="preserve">Prepared remarks 3T25 | 'mais de 1,9 bi'</t>
        </r>
      </text>
    </comment>
    <comment ref="K6" authorId="0">
      <text>
        <r>
          <rPr>
            <sz val="10"/>
            <rFont val="Arial"/>
            <family val="2"/>
          </rPr>
          <t xml:space="preserve">Prepared remarks 4T25 | recorde 9,0 bi, ~79% da receita | arredondado</t>
        </r>
      </text>
    </comment>
    <comment ref="K7" authorId="0">
      <text>
        <r>
          <rPr>
            <sz val="10"/>
            <rFont val="Arial"/>
            <family val="2"/>
          </rPr>
          <t xml:space="preserve">Prepared remarks 4T25 | 2,3 bi, 20% da receita | arredondado</t>
        </r>
      </text>
    </comment>
    <comment ref="K16" authorId="0">
      <text>
        <r>
          <rPr>
            <sz val="10"/>
            <rFont val="Arial"/>
            <family val="2"/>
          </rPr>
          <t xml:space="preserve">Derivado | LL non-GAAP / EPS non-GAAP</t>
        </r>
      </text>
    </comment>
    <comment ref="K20" authorId="0">
      <text>
        <r>
          <rPr>
            <sz val="10"/>
            <rFont val="Arial"/>
            <family val="2"/>
          </rPr>
          <t xml:space="preserve">Prepared remarks 4T25 | 14,6 bi apos ~0,9 bi de amortizacao</t>
        </r>
      </text>
    </comment>
    <comment ref="K35" authorId="0">
      <text>
        <r>
          <rPr>
            <sz val="10"/>
            <rFont val="Arial"/>
            <family val="2"/>
          </rPr>
          <t xml:space="preserve">Derivado | 11.315 - (4.543 + 1.577 + 3.760); CMBU/CDBU/MCBU da tabela comparativa do 8-K 1T26</t>
        </r>
      </text>
    </comment>
    <comment ref="L9" authorId="0">
      <text>
        <r>
          <rPr>
            <sz val="10"/>
            <rFont val="Arial"/>
            <family val="2"/>
          </rPr>
          <t xml:space="preserve">8-K 1T26 | 7.646 / 13.643</t>
        </r>
      </text>
    </comment>
    <comment ref="L11" authorId="0">
      <text>
        <r>
          <rPr>
            <sz val="10"/>
            <rFont val="Arial"/>
            <family val="2"/>
          </rPr>
          <t xml:space="preserve">8-K 2T26 (coluna comparativa) | opex non-GAAP 1.334</t>
        </r>
      </text>
    </comment>
    <comment ref="L12" authorId="0">
      <text>
        <r>
          <rPr>
            <sz val="10"/>
            <rFont val="Arial"/>
            <family val="2"/>
          </rPr>
          <t xml:space="preserve">10-Q 1T26 | segmentos 6.419 - nao alocado 283; call: 6,4 bi (47,0%)</t>
        </r>
      </text>
    </comment>
    <comment ref="L16" authorId="0">
      <text>
        <r>
          <rPr>
            <sz val="10"/>
            <rFont val="Arial"/>
            <family val="2"/>
          </rPr>
          <t xml:space="preserve">Derivado | LL non-GAAP / EPS non-GAAP</t>
        </r>
      </text>
    </comment>
    <comment ref="L17" authorId="0">
      <text>
        <r>
          <rPr>
            <sz val="10"/>
            <rFont val="Arial"/>
            <family val="2"/>
          </rPr>
          <t xml:space="preserve">Derivado | FCO 8.411 - FCF ajustado ~3.900</t>
        </r>
      </text>
    </comment>
    <comment ref="L18" authorId="0">
      <text>
        <r>
          <rPr>
            <sz val="10"/>
            <rFont val="Arial"/>
            <family val="2"/>
          </rPr>
          <t xml:space="preserve">Prepared remarks 1T26 | 3,9 bi (recorde) | arredondado</t>
        </r>
      </text>
    </comment>
    <comment ref="L19" authorId="0">
      <text>
        <r>
          <rPr>
            <sz val="10"/>
            <rFont val="Arial"/>
            <family val="2"/>
          </rPr>
          <t xml:space="preserve">Derivado | divida 11,8 bi + 'caixa liquido acima de 250 mn' (remarks)</t>
        </r>
      </text>
    </comment>
    <comment ref="L32" authorId="0">
      <text>
        <r>
          <rPr>
            <sz val="10"/>
            <rFont val="Arial"/>
            <family val="2"/>
          </rPr>
          <t xml:space="preserve">Prepared remarks 1T26 | CMBU/MCBU/AEBU arredondados (5,3 / 4,3 / 1,7 bi); CDBU 2.379 da tabela do 8-K</t>
        </r>
      </text>
    </comment>
    <comment ref="L33" authorId="0">
      <text>
        <r>
          <rPr>
            <sz val="10"/>
            <rFont val="Arial"/>
            <family val="2"/>
          </rPr>
          <t xml:space="preserve">Prepared remarks 1T26 | CMBU/MCBU/AEBU arredondados (5,3 / 4,3 / 1,7 bi); CDBU 2.379 da tabela do 8-K</t>
        </r>
      </text>
    </comment>
    <comment ref="L34" authorId="0">
      <text>
        <r>
          <rPr>
            <sz val="10"/>
            <rFont val="Arial"/>
            <family val="2"/>
          </rPr>
          <t xml:space="preserve">Prepared remarks 1T26 | CMBU/MCBU/AEBU arredondados (5,3 / 4,3 / 1,7 bi); CDBU 2.379 da tabela do 8-K</t>
        </r>
      </text>
    </comment>
    <comment ref="L35" authorId="0">
      <text>
        <r>
          <rPr>
            <sz val="10"/>
            <rFont val="Arial"/>
            <family val="2"/>
          </rPr>
          <t xml:space="preserve">Prepared remarks 1T26 | CMBU/MCBU/AEBU arredondados (5,3 / 4,3 / 1,7 bi); CDBU 2.379 da tabela do 8-K</t>
        </r>
      </text>
    </comment>
    <comment ref="M6" authorId="0">
      <text>
        <r>
          <rPr>
            <sz val="10"/>
            <rFont val="Arial"/>
            <family val="2"/>
          </rPr>
          <t xml:space="preserve">Prepared remarks 2T26 | recorde 18,8 bi, 79% da receita | arredondado</t>
        </r>
      </text>
    </comment>
    <comment ref="M7" authorId="0">
      <text>
        <r>
          <rPr>
            <sz val="10"/>
            <rFont val="Arial"/>
            <family val="2"/>
          </rPr>
          <t xml:space="preserve">Prepared remarks 2T26 | recorde 5,0 bi, 21% da receita | arredondado</t>
        </r>
      </text>
    </comment>
    <comment ref="M12" authorId="0">
      <text>
        <r>
          <rPr>
            <sz val="10"/>
            <rFont val="Arial"/>
            <family val="2"/>
          </rPr>
          <t xml:space="preserve">Derivado | 74,9% x 23.860 - 1.421 (call: ~16,5 bi, 69,0%)</t>
        </r>
      </text>
    </comment>
    <comment ref="M17" authorId="0">
      <text>
        <r>
          <rPr>
            <sz val="10"/>
            <rFont val="Arial"/>
            <family val="2"/>
          </rPr>
          <t xml:space="preserve">8-K 2T26 | 5,0 bi | arredondado</t>
        </r>
      </text>
    </comment>
    <comment ref="M18" authorId="0">
      <text>
        <r>
          <rPr>
            <sz val="10"/>
            <rFont val="Arial"/>
            <family val="2"/>
          </rPr>
          <t xml:space="preserve">8-K 2T26 | 6,9 bi | arredondado</t>
        </r>
      </text>
    </comment>
    <comment ref="M33" authorId="0">
      <text>
        <r>
          <rPr>
            <sz val="10"/>
            <rFont val="Arial"/>
            <family val="2"/>
          </rPr>
          <t xml:space="preserve">8-K 2T26 | ~5,69 bi | arredondado</t>
        </r>
      </text>
    </comment>
    <comment ref="M34" authorId="0">
      <text>
        <r>
          <rPr>
            <sz val="10"/>
            <rFont val="Arial"/>
            <family val="2"/>
          </rPr>
          <t xml:space="preserve">Prepared remarks 2T26 | recorde 7,7 bi, 32% | arredondado</t>
        </r>
      </text>
    </comment>
    <comment ref="M35" authorId="0">
      <text>
        <r>
          <rPr>
            <sz val="10"/>
            <rFont val="Arial"/>
            <family val="2"/>
          </rPr>
          <t xml:space="preserve">Prepared remarks 2T26 | recorde 2,7 bi, 11% | arredondado</t>
        </r>
      </text>
    </comment>
    <comment ref="N6" authorId="0">
      <text>
        <r>
          <rPr>
            <sz val="10"/>
            <rFont val="Arial"/>
            <family val="2"/>
          </rPr>
          <t xml:space="preserve">Prepared remarks 3T26 | recorde 31,3 bi, 76% da receita | arredondado</t>
        </r>
      </text>
    </comment>
    <comment ref="N7" authorId="0">
      <text>
        <r>
          <rPr>
            <sz val="10"/>
            <rFont val="Arial"/>
            <family val="2"/>
          </rPr>
          <t xml:space="preserve">Prepared remarks 3T26 | recorde 9,9 bi, 24% da receita | arredondado</t>
        </r>
      </text>
    </comment>
    <comment ref="N17" authorId="0">
      <text>
        <r>
          <rPr>
            <sz val="10"/>
            <rFont val="Arial"/>
            <family val="2"/>
          </rPr>
          <t xml:space="preserve">8-K 3T26 | 7,1 bi | arredondado</t>
        </r>
      </text>
    </comment>
    <comment ref="N18" authorId="0">
      <text>
        <r>
          <rPr>
            <sz val="10"/>
            <rFont val="Arial"/>
            <family val="2"/>
          </rPr>
          <t xml:space="preserve">8-K 3T26 | 18,3 bi | arredondado</t>
        </r>
      </text>
    </comment>
    <comment ref="N20" authorId="0">
      <text>
        <r>
          <rPr>
            <sz val="10"/>
            <rFont val="Arial"/>
            <family val="2"/>
          </rPr>
          <t xml:space="preserve">Prepared remarks 3T26 | 5,7 bi (-4,4 bi t/t); caixa liquido 24,4 bi</t>
        </r>
      </text>
    </comment>
    <comment ref="O5" authorId="0">
      <text>
        <r>
          <rPr>
            <sz val="10"/>
            <rFont val="Arial"/>
            <family val="2"/>
          </rPr>
          <t xml:space="preserve">8-K 30/set/26 | 54,23 bi (tabela: 54.229)</t>
        </r>
      </text>
    </comment>
    <comment ref="O6" authorId="0">
      <text>
        <r>
          <rPr>
            <sz val="10"/>
            <rFont val="Arial"/>
            <family val="2"/>
          </rPr>
          <t xml:space="preserve">8-K e prepared remarks 4T26 | recorde 39,8 bi, 73% da receita | arredondado</t>
        </r>
      </text>
    </comment>
    <comment ref="O7" authorId="0">
      <text>
        <r>
          <rPr>
            <sz val="10"/>
            <rFont val="Arial"/>
            <family val="2"/>
          </rPr>
          <t xml:space="preserve">8-K e prepared remarks 4T26 | recorde 14,1 bi, 26% da receita | arredondado</t>
        </r>
      </text>
    </comment>
    <comment ref="O11" authorId="0">
      <text>
        <r>
          <rPr>
            <sz val="10"/>
            <rFont val="Arial"/>
            <family val="2"/>
          </rPr>
          <t xml:space="preserve">Derivado | LB non-GAAP 47.204 - EBIT non-GAAP 44.636 (remarks: 2,6 bi, +1,1 bi t/t)</t>
        </r>
      </text>
    </comment>
    <comment ref="O13" authorId="0">
      <text>
        <r>
          <rPr>
            <sz val="10"/>
            <rFont val="Arial"/>
            <family val="2"/>
          </rPr>
          <t xml:space="preserve">8-K 30/set/26 | 38,40 bi</t>
        </r>
      </text>
    </comment>
    <comment ref="O17" authorId="0">
      <text>
        <r>
          <rPr>
            <sz val="10"/>
            <rFont val="Arial"/>
            <family val="2"/>
          </rPr>
          <t xml:space="preserve">8-K 30/set/26 | capex liquido 10,77 bi</t>
        </r>
      </text>
    </comment>
    <comment ref="O18" authorId="0">
      <text>
        <r>
          <rPr>
            <sz val="10"/>
            <rFont val="Arial"/>
            <family val="2"/>
          </rPr>
          <t xml:space="preserve">8-K 30/set/26 | FCF ajustado 33,20 bi</t>
        </r>
      </text>
    </comment>
    <comment ref="O20" authorId="0">
      <text>
        <r>
          <rPr>
            <sz val="10"/>
            <rFont val="Arial"/>
            <family val="2"/>
          </rPr>
          <t xml:space="preserve">8-K 30/set/26 (balanco) | 491 CP + 4.688 LP; caixa liquido 68,3 bi (remarks)</t>
        </r>
      </text>
    </comment>
    <comment ref="P5" authorId="0">
      <text>
        <r>
          <rPr>
            <sz val="10"/>
            <rFont val="Arial"/>
            <family val="2"/>
          </rPr>
          <t xml:space="preserve">8-K 30/set/26 | 61,5 bi +/- 1,5 bi</t>
        </r>
      </text>
    </comment>
    <comment ref="P9" authorId="0">
      <text>
        <r>
          <rPr>
            <sz val="10"/>
            <rFont val="Arial"/>
            <family val="2"/>
          </rPr>
          <t xml:space="preserve">8-K 30/set/26 | MB GAAP 85,95%</t>
        </r>
      </text>
    </comment>
    <comment ref="P10" authorId="0">
      <text>
        <r>
          <rPr>
            <sz val="10"/>
            <rFont val="Arial"/>
            <family val="2"/>
          </rPr>
          <t xml:space="preserve">8-K 30/set/26 | 86,25% +/- 1 p.p. | CFO: piso do FY27</t>
        </r>
      </text>
    </comment>
    <comment ref="P11" authorId="0">
      <text>
        <r>
          <rPr>
            <sz val="10"/>
            <rFont val="Arial"/>
            <family val="2"/>
          </rPr>
          <t xml:space="preserve">8-K 30/set/26 | opex non-GAAP ~2.060 | GAAP ~2.310</t>
        </r>
      </text>
    </comment>
    <comment ref="P13" authorId="0">
      <text>
        <r>
          <rPr>
            <sz val="10"/>
            <rFont val="Arial"/>
            <family val="2"/>
          </rPr>
          <t xml:space="preserve">Derivado | EPS x acoes guiadas (sanity)</t>
        </r>
      </text>
    </comment>
    <comment ref="P14" authorId="0">
      <text>
        <r>
          <rPr>
            <sz val="10"/>
            <rFont val="Arial"/>
            <family val="2"/>
          </rPr>
          <t xml:space="preserve">8-K 30/set/26 | 38,15 +/- 1,00</t>
        </r>
      </text>
    </comment>
    <comment ref="P15" authorId="0">
      <text>
        <r>
          <rPr>
            <sz val="10"/>
            <rFont val="Arial"/>
            <family val="2"/>
          </rPr>
          <t xml:space="preserve">8-K 30/set/26 | EPS GAAP 37,84</t>
        </r>
      </text>
    </comment>
    <comment ref="P16" authorId="0">
      <text>
        <r>
          <rPr>
            <sz val="10"/>
            <rFont val="Arial"/>
            <family val="2"/>
          </rPr>
          <t xml:space="preserve">Call 4T26 | ~1.150 mn acoes diluidas</t>
        </r>
      </text>
    </comment>
    <comment ref="P17" authorId="0">
      <text>
        <r>
          <rPr>
            <sz val="10"/>
            <rFont val="Arial"/>
            <family val="2"/>
          </rPr>
          <t xml:space="preserve">Call 4T26 | ~11,5 bi; 1S27 ~25 bi; 2S maior</t>
        </r>
      </text>
    </comment>
    <comment ref="P22" authorId="0">
      <text>
        <r>
          <rPr>
            <sz val="10"/>
            <rFont val="Arial"/>
            <family val="2"/>
          </rPr>
          <t xml:space="preserve">8-K 30/set/26 | declarado 30/set/26, pago 29/out/26</t>
        </r>
      </text>
    </comment>
  </commentList>
</comments>
</file>

<file path=xl/sharedStrings.xml><?xml version="1.0" encoding="utf-8"?>
<sst xmlns="http://schemas.openxmlformats.org/spreadsheetml/2006/main" count="1145" uniqueCount="763">
  <si>
    <t xml:space="preserve">Micron Technology (MU US) - Resumo do modelo</t>
  </si>
  <si>
    <t xml:space="preserve">US$ mn, exceto onde indicado | ano fiscal termina no inicio de setembro | FY26A nao auditado (8-K 30/set/26), 53 semanas</t>
  </si>
  <si>
    <t xml:space="preserve">Micron Technology | MU US | memoria DRAM / NAND / HBM</t>
  </si>
  <si>
    <t xml:space="preserve">Pesos e limiares (inputs)</t>
  </si>
  <si>
    <t xml:space="preserve">Preco (US$)</t>
  </si>
  <si>
    <t xml:space="preserve">Peso Base</t>
  </si>
  <si>
    <t xml:space="preserve">Data do preco</t>
  </si>
  <si>
    <t xml:space="preserve">Peso Bull</t>
  </si>
  <si>
    <t xml:space="preserve">Preco-alvo 12m (US$) - cenario ativo</t>
  </si>
  <si>
    <t xml:space="preserve">Peso Bear</t>
  </si>
  <si>
    <t xml:space="preserve">Upside - cenario ativo</t>
  </si>
  <si>
    <t xml:space="preserve">Compra se upside ponderado &gt;=</t>
  </si>
  <si>
    <t xml:space="preserve">Recomendacao</t>
  </si>
  <si>
    <t xml:space="preserve">Venda se upside ponderado &lt;=</t>
  </si>
  <si>
    <t xml:space="preserve">PT ponderado (US$) = SUMPRODUCT(pesos; PT dos cenarios)</t>
  </si>
  <si>
    <t xml:space="preserve">Soma dos pesos</t>
  </si>
  <si>
    <t xml:space="preserve">Upside ponderado</t>
  </si>
  <si>
    <t xml:space="preserve">PT medio sell-side (US$)</t>
  </si>
  <si>
    <t xml:space="preserve">PT casa (ponderado) / sell-side - 1</t>
  </si>
  <si>
    <t xml:space="preserve">Mkt cap (US$ bn)</t>
  </si>
  <si>
    <t xml:space="preserve">EV (US$ bn, incl. depositos SCA)</t>
  </si>
  <si>
    <t xml:space="preserve">Net cash FY26A (US$ bn)</t>
  </si>
  <si>
    <t xml:space="preserve">Net cash por acao FY26A (US$)</t>
  </si>
  <si>
    <t xml:space="preserve">Cenario ativo</t>
  </si>
  <si>
    <t xml:space="preserve">Analista | atualizado</t>
  </si>
  <si>
    <t xml:space="preserve">LF</t>
  </si>
  <si>
    <t xml:space="preserve">Checks</t>
  </si>
  <si>
    <t xml:space="preserve">US$ mn, exceto onde indicado</t>
  </si>
  <si>
    <t xml:space="preserve">FY24A</t>
  </si>
  <si>
    <t xml:space="preserve">FY25A</t>
  </si>
  <si>
    <t xml:space="preserve">FY26A</t>
  </si>
  <si>
    <t xml:space="preserve">FY27E</t>
  </si>
  <si>
    <t xml:space="preserve">FY28E</t>
  </si>
  <si>
    <t xml:space="preserve">FY29E</t>
  </si>
  <si>
    <t xml:space="preserve">FY30E</t>
  </si>
  <si>
    <t xml:space="preserve">FY31E</t>
  </si>
  <si>
    <t xml:space="preserve">Normalizado</t>
  </si>
  <si>
    <t xml:space="preserve">Rec. liq.</t>
  </si>
  <si>
    <t xml:space="preserve">   cresc. a/a</t>
  </si>
  <si>
    <t xml:space="preserve">MB</t>
  </si>
  <si>
    <t xml:space="preserve">EBITDA</t>
  </si>
  <si>
    <t xml:space="preserve">   mg EBITDA</t>
  </si>
  <si>
    <t xml:space="preserve">EBIT</t>
  </si>
  <si>
    <t xml:space="preserve">LL</t>
  </si>
  <si>
    <t xml:space="preserve">EPS non-GAAP (US$)</t>
  </si>
  <si>
    <t xml:space="preserve">   cresc. EPS non-GAAP</t>
  </si>
  <si>
    <t xml:space="preserve">   EPS consenso (US$)</t>
  </si>
  <si>
    <t xml:space="preserve">   modelo vs consenso</t>
  </si>
  <si>
    <t xml:space="preserve">   receita consenso</t>
  </si>
  <si>
    <t xml:space="preserve">FCF (FCO - capex)</t>
  </si>
  <si>
    <t xml:space="preserve">FCFF (DCF)</t>
  </si>
  <si>
    <t xml:space="preserve">Recompras</t>
  </si>
  <si>
    <t xml:space="preserve">Acoes diluidas fim de ano (mn)</t>
  </si>
  <si>
    <t xml:space="preserve">hist: media</t>
  </si>
  <si>
    <t xml:space="preserve">Net cash</t>
  </si>
  <si>
    <t xml:space="preserve">FCF yield (sobre mkt cap atual)</t>
  </si>
  <si>
    <t xml:space="preserve">n.m.</t>
  </si>
  <si>
    <t xml:space="preserve">EV/EBITDA (x)</t>
  </si>
  <si>
    <t xml:space="preserve">P/E non-GAAP (x)</t>
  </si>
  <si>
    <t xml:space="preserve">P/B (x)</t>
  </si>
  <si>
    <t xml:space="preserve">Dividend yield</t>
  </si>
  <si>
    <t xml:space="preserve">Cenarios (snapshot 07/out/26 - atualizar ao mudar premissas)</t>
  </si>
  <si>
    <t xml:space="preserve">Cenario</t>
  </si>
  <si>
    <t xml:space="preserve">Peso</t>
  </si>
  <si>
    <t xml:space="preserve">PT 12m (US$)</t>
  </si>
  <si>
    <t xml:space="preserve">Upside</t>
  </si>
  <si>
    <t xml:space="preserve">Rec. FY27E</t>
  </si>
  <si>
    <t xml:space="preserve">EPS ng FY27E</t>
  </si>
  <si>
    <t xml:space="preserve">MB FY27E</t>
  </si>
  <si>
    <t xml:space="preserve">EPS ng FY28E</t>
  </si>
  <si>
    <t xml:space="preserve">EPS ng FY30E</t>
  </si>
  <si>
    <t xml:space="preserve">Base</t>
  </si>
  <si>
    <t xml:space="preserve">Bull</t>
  </si>
  <si>
    <t xml:space="preserve">Bear</t>
  </si>
  <si>
    <t xml:space="preserve">snapshot 07/out/26 - valores em azul lidos do modelo com Premissas!D4 = 1/2/3; o cenario ativo (bloco acima) e vivo</t>
  </si>
  <si>
    <t xml:space="preserve">Sensibilidade: EPS non-GAAP FY28E (US$) x preco medio de recompra FY27-28 (multiplicador sobre a trajetoria da aba Premissas; recompras em US$ fixas)</t>
  </si>
  <si>
    <t xml:space="preserve">passo do multiplicador</t>
  </si>
  <si>
    <t xml:space="preserve">multiplicador de preco</t>
  </si>
  <si>
    <t xml:space="preserve">preco medio FY27 implicito (US$)</t>
  </si>
  <si>
    <t xml:space="preserve">EPS non-GAAP FY28E (US$)</t>
  </si>
  <si>
    <t xml:space="preserve">Tese</t>
  </si>
  <si>
    <t xml:space="preserve">- FY27E ~75% contratado: guia 1T27 (61,5 bi; MB 86,25% non-GAAP como piso do ano) + carry-over de preco (saida 4T26 +46% DRAM / +60% NAND vs media FY26) mais alta moderada e decrescente ao longo do FY27 (+10-15% t/t no 1T27 guiado, mid-single no 2S27) = ASP +76% / +82% a/a e ~273 bi de receita com MB ~87%; a alta adicional embutida alem do carry-over e de ~+20% (DRAM) e ~+14% (NAND) na media do ano (Operacional). FY27 e o pico de margem e o risco de estimativa nele e pequeno.</t>
  </si>
  <si>
    <t xml:space="preserve">- Pico de receita e o FY28E (~300 bi), nao o FY27: ASP de DRAM sobe ate CQ4'27, mas a oferta nova (ID1/Tongluo, M15X/Yongin, P5, CXMT ~420k wpm) chega em CQ1-CQ2'28 e o preco rola; NAND vira antes (2S27).</t>
  </si>
  <si>
    <t xml:space="preserve">- O ciclo nao acabou: ASP DRAM -54% em 2 anos (2018-20) e -48% em 12m (2023) sustentam o ajuste de FY29-30E (receita 213 -&gt; 167 bi; vale de MB ~68% no FY30E, recuperacao no FY31E), mas o piso de MB fica acima de qualquer pico anterior por floors das SCAs (&gt;35% da receita ate 2030), HBM com preco anual e capex em obra civil. O ano normalizado (MB 62%) fica abaixo do vale porque os floors expiram em 2030-31.</t>
  </si>
  <si>
    <t xml:space="preserve">- Mesmo no vale do Base a empresa gera ~90 bi de LL e ~95 bi de FCF; net cash de 68 bi, fim das restricoes CHIPS em 9-dez-26 e '100% do caixa excedente' em recompras (modelado como caixa alvo de 45-80 bi) cortam a base de acoes para ~0,5 bi ate FY31E - EPS normalizado muito menos ciclico que a receita.</t>
  </si>
  <si>
    <t xml:space="preserve">- A 5,9x o EPS FY27E de consenso a acao ja precifica um ciclo; a assimetria esta em quando/quanto o preco cai (Bear: vira em CQ2'27, MB 44% no FY30E) vs CY27-28 mais apertados que 2026 (Bull: pico de MB no FY28E, 88,6%). PT ponderado (50/25/25) proximo do preco: Neutro.</t>
  </si>
  <si>
    <t xml:space="preserve">Riscos</t>
  </si>
  <si>
    <t xml:space="preserve">- Reversao de preco antes do previsto: spot DDR5 parado desde set/26 com contrato ainda subindo, tetos de LTA ao nivel de CQ2'26, bits em queda em mobile/client; cada -10% de ASP DRAM no FY28 = ~-24 bi de receita e ~-3 p.p. de MB (quase tudo no EBIT).</t>
  </si>
  <si>
    <t xml:space="preserve">- Oferta: Samsung (&gt;110 tri won), SK hynix (high-40s tri won; M15X/Yongin) e CXMT (350k -&gt; 500k wpm, G5 DUV em DDR5/LPDDR) expandem junto com a Micron (capex 27 -&gt; 52 -&gt; 58 bi); D&amp;A sobe de 9,5 para ~23 bi ate FY29E independente do preco.</t>
  </si>
  <si>
    <t xml:space="preserve">- Demanda/IA: DRAM+NAND = 68% do capex de CSPs em 2027 (TrendForce) - participacao insustentavel; digestao de capex de hyperscalers atinge memoria primeiro; share de HBM caiu de 21% para 18% (Counterpoint 1T-&gt;2T26) com Samsung de volta no HBM4.</t>
  </si>
  <si>
    <t xml:space="preserve">- Contratos e politica: take-or-pay com 12,9 bi de depositos nunca testado num vale (renegociacao/litigio) - deduzidos integralmente na ponte EV-&gt;equity e consumidos em FY27-30 no FC; CAC China, tarifas Sec. 232 e controles BIS; CHIPS condiciona recompras e grants a marcos; FY26 nao auditado e com 53 semanas (base inflada ~2% para o FY27).</t>
  </si>
  <si>
    <t xml:space="preserve">Premissas operacionais, financeiras e de valuation</t>
  </si>
  <si>
    <t xml:space="preserve">Premissas FY27E-FY31E por cenario (Base / Bull / Bear); seletor em D4; o modelo so le a linha 'Selecionado'; colunas FY22A-FY26A = historico realizado (link) para comparacao</t>
  </si>
  <si>
    <t xml:space="preserve">Cenario ativo (1=Base, 2=Bull, 3=Bear)</t>
  </si>
  <si>
    <t xml:space="preserve">seletor</t>
  </si>
  <si>
    <t xml:space="preserve">FY22A</t>
  </si>
  <si>
    <t xml:space="preserve">FY23A</t>
  </si>
  <si>
    <t xml:space="preserve">DRAM - bit growth (a/a)</t>
  </si>
  <si>
    <t xml:space="preserve">%</t>
  </si>
  <si>
    <t xml:space="preserve">   Base</t>
  </si>
  <si>
    <t xml:space="preserve">   Bull</t>
  </si>
  <si>
    <t xml:space="preserve">   Bear</t>
  </si>
  <si>
    <t xml:space="preserve">   Selecionado</t>
  </si>
  <si>
    <t xml:space="preserve">hist: rec. a/a</t>
  </si>
  <si>
    <t xml:space="preserve">DRAM - ASP (a/a)</t>
  </si>
  <si>
    <t xml:space="preserve">DRAM - custo/bit (a/a)</t>
  </si>
  <si>
    <t xml:space="preserve">NAND - bit growth (a/a)</t>
  </si>
  <si>
    <t xml:space="preserve">NAND - ASP (a/a)</t>
  </si>
  <si>
    <t xml:space="preserve">NAND - custo/bit (a/a)</t>
  </si>
  <si>
    <t xml:space="preserve">Outras receitas - cresc. (a/a)</t>
  </si>
  <si>
    <t xml:space="preserve">R&amp;D - cresc. (a/a)</t>
  </si>
  <si>
    <t xml:space="preserve">SG&amp;A - cresc. (a/a)</t>
  </si>
  <si>
    <t xml:space="preserve">SBC (% receita)</t>
  </si>
  <si>
    <t xml:space="preserve">Capex liquido (US$ mn)</t>
  </si>
  <si>
    <t xml:space="preserve">US$ mn</t>
  </si>
  <si>
    <t xml:space="preserve">D&amp;A (% PP&amp;E liq. inicial)</t>
  </si>
  <si>
    <t xml:space="preserve">Aliquota de IR</t>
  </si>
  <si>
    <t xml:space="preserve">DSO (dias)</t>
  </si>
  <si>
    <t xml:space="preserve">dias</t>
  </si>
  <si>
    <t xml:space="preserve">DIO (dias)</t>
  </si>
  <si>
    <t xml:space="preserve">DPO (dias)</t>
  </si>
  <si>
    <t xml:space="preserve">Caixa e aplicacoes alvo no fim do ano (US$ mn)</t>
  </si>
  <si>
    <t xml:space="preserve">hist: realizado</t>
  </si>
  <si>
    <t xml:space="preserve">Preco medio de recompra (US$/acao)</t>
  </si>
  <si>
    <t xml:space="preserve">US$</t>
  </si>
  <si>
    <t xml:space="preserve">DPS - cresc. (a/a)</t>
  </si>
  <si>
    <t xml:space="preserve">Yield do caixa e aplicacoes</t>
  </si>
  <si>
    <t xml:space="preserve">Custo medio da divida (juros/saldo medio)</t>
  </si>
  <si>
    <t xml:space="preserve">Diluicao de SBC (mn acoes/ano)</t>
  </si>
  <si>
    <t xml:space="preserve">mn</t>
  </si>
  <si>
    <t xml:space="preserve">hist: var. media</t>
  </si>
  <si>
    <t xml:space="preserve">Consumo dos depositos SCA (% do saldo FY26A)</t>
  </si>
  <si>
    <t xml:space="preserve">Trajetoria trimestral FY27E (aba Trimestral): 1T27E = guia; 4T27E = residual do ano - valor na coluna I</t>
  </si>
  <si>
    <t xml:space="preserve">Receita 2T27E t/t</t>
  </si>
  <si>
    <t xml:space="preserve">Receita 3T27E t/t</t>
  </si>
  <si>
    <t xml:space="preserve">Ano normalizado (mid-cycle, base do valor terminal) - valor na coluna I</t>
  </si>
  <si>
    <t xml:space="preserve">MB normalizada (mid-cycle)</t>
  </si>
  <si>
    <t xml:space="preserve">Receita normalizada vs FY31E (x)</t>
  </si>
  <si>
    <t xml:space="preserve">Desp. op. (% receita)</t>
  </si>
  <si>
    <t xml:space="preserve">Capex (% receita)</t>
  </si>
  <si>
    <t xml:space="preserve">D&amp;A (% receita)</t>
  </si>
  <si>
    <t xml:space="preserve">Aliquota</t>
  </si>
  <si>
    <t xml:space="preserve">NWC (% da receita incremental)</t>
  </si>
  <si>
    <t xml:space="preserve">WACC, valor terminal e datas - valor na coluna I</t>
  </si>
  <si>
    <t xml:space="preserve">Taxa livre de risco (UST 10a)</t>
  </si>
  <si>
    <t xml:space="preserve">Beta (alavancado)</t>
  </si>
  <si>
    <t xml:space="preserve">Premio de risco de mercado (ERP)</t>
  </si>
  <si>
    <t xml:space="preserve">Custo do equity (Ke) = Rf + beta x ERP</t>
  </si>
  <si>
    <t xml:space="preserve">Custo da divida pre-IR (Kd)</t>
  </si>
  <si>
    <t xml:space="preserve">Aliquota (WACC)</t>
  </si>
  <si>
    <t xml:space="preserve">Kd apos IR</t>
  </si>
  <si>
    <t xml:space="preserve">Peso da divida (D/(D+E))</t>
  </si>
  <si>
    <t xml:space="preserve">Peso do equity (E/(D+E))</t>
  </si>
  <si>
    <t xml:space="preserve">WACC</t>
  </si>
  <si>
    <t xml:space="preserve">Crescimento terminal (g)</t>
  </si>
  <si>
    <t xml:space="preserve">Convencao de meio de ano (1=sim, 0=nao)</t>
  </si>
  <si>
    <t xml:space="preserve">Data de valuation</t>
  </si>
  <si>
    <t xml:space="preserve">Fim do FY27 (52 semanas)</t>
  </si>
  <si>
    <t xml:space="preserve">Amortizacao anual de finance leases (US$ mn)</t>
  </si>
  <si>
    <t xml:space="preserve">Margem bruta FY26A por produto (estimativa - Micron nao divulga COGS por tecnologia)</t>
  </si>
  <si>
    <t xml:space="preserve">MB DRAM FY26A (estimativa)</t>
  </si>
  <si>
    <t xml:space="preserve">MB Outros FY26A (estimativa)</t>
  </si>
  <si>
    <t xml:space="preserve">Mercado e consenso (fechamento de 06/out/26)</t>
  </si>
  <si>
    <t xml:space="preserve">Preco MU (US$)</t>
  </si>
  <si>
    <t xml:space="preserve">Acoes diluidas 4T26 (mn) - base unica do modelo</t>
  </si>
  <si>
    <t xml:space="preserve">   memo: acoes em circulacao, basicas (mn)</t>
  </si>
  <si>
    <t xml:space="preserve">Consenso receita FY27E (US$ mn)</t>
  </si>
  <si>
    <t xml:space="preserve">Consenso EPS non-GAAP FY27E (US$)</t>
  </si>
  <si>
    <t xml:space="preserve">Consenso receita FY28E (US$ mn)</t>
  </si>
  <si>
    <t xml:space="preserve">Consenso EPS non-GAAP FY28E (US$)</t>
  </si>
  <si>
    <t xml:space="preserve">Preco-alvo medio sell-side (US$)</t>
  </si>
  <si>
    <t xml:space="preserve">Operacional - receita, bits, ASP e margem bruta por produto</t>
  </si>
  <si>
    <t xml:space="preserve">FY26A por produto = soma dos quatro trimestres (8-K / 10-Q / prepared remarks; 10-K FY26 pendente); 'outros' = residual; indices FY26A = 100</t>
  </si>
  <si>
    <t xml:space="preserve">Receita por produto</t>
  </si>
  <si>
    <t xml:space="preserve">Receita DRAM</t>
  </si>
  <si>
    <t xml:space="preserve">8-K/10-K</t>
  </si>
  <si>
    <t xml:space="preserve">Receita NAND</t>
  </si>
  <si>
    <t xml:space="preserve">Receita Outros (NOR, 3D XPoint ate FY22)</t>
  </si>
  <si>
    <t xml:space="preserve">residual</t>
  </si>
  <si>
    <t xml:space="preserve">Rec. liq. total</t>
  </si>
  <si>
    <t xml:space="preserve">Rec. liq. reportada (memo)</t>
  </si>
  <si>
    <t xml:space="preserve">Check: soma segmentos - reportada/DRE</t>
  </si>
  <si>
    <t xml:space="preserve">   cresc. DRAM a/a</t>
  </si>
  <si>
    <t xml:space="preserve">   cresc. NAND a/a</t>
  </si>
  <si>
    <t xml:space="preserve">   cresc. total a/a</t>
  </si>
  <si>
    <t xml:space="preserve">Mix DRAM (% receita)</t>
  </si>
  <si>
    <t xml:space="preserve">Mix NAND (% receita)</t>
  </si>
  <si>
    <t xml:space="preserve">Indices (FY26A = 100)</t>
  </si>
  <si>
    <t xml:space="preserve">DRAM - indice de bits</t>
  </si>
  <si>
    <t xml:space="preserve">FY26A=100</t>
  </si>
  <si>
    <t xml:space="preserve">DRAM - indice de ASP</t>
  </si>
  <si>
    <t xml:space="preserve">DRAM - indice de custo/bit</t>
  </si>
  <si>
    <t xml:space="preserve">NAND - indice de bits</t>
  </si>
  <si>
    <t xml:space="preserve">NAND - indice de ASP</t>
  </si>
  <si>
    <t xml:space="preserve">NAND - indice de custo/bit</t>
  </si>
  <si>
    <t xml:space="preserve">Decomposicao do ASP FY27E: o que ja esta contratado (carry-over do preco de saida do 4T26) vs alta adicional assumida</t>
  </si>
  <si>
    <t xml:space="preserve">DRAM - ASP a/a FY27E so com carry-over do 4T26 (memo)</t>
  </si>
  <si>
    <t xml:space="preserve">memo</t>
  </si>
  <si>
    <t xml:space="preserve">DRAM - alta media adicional implicita no FY27E</t>
  </si>
  <si>
    <t xml:space="preserve">NAND - ASP a/a FY27E so com carry-over do 4T26 (memo)</t>
  </si>
  <si>
    <t xml:space="preserve">NAND - alta media adicional implicita no FY27E</t>
  </si>
  <si>
    <t xml:space="preserve">Margem bruta por produto: MB_t = 1 - (1-MB_t-1) x (1+custo/bit)/(1+ASP)</t>
  </si>
  <si>
    <t xml:space="preserve">MB DRAM</t>
  </si>
  <si>
    <t xml:space="preserve">estimativa</t>
  </si>
  <si>
    <t xml:space="preserve">MB NAND</t>
  </si>
  <si>
    <t xml:space="preserve">MB Outros</t>
  </si>
  <si>
    <t xml:space="preserve">LB DRAM</t>
  </si>
  <si>
    <t xml:space="preserve">LB NAND</t>
  </si>
  <si>
    <t xml:space="preserve">LB Outros</t>
  </si>
  <si>
    <t xml:space="preserve">LB consolidado</t>
  </si>
  <si>
    <t xml:space="preserve">LB reportado (memo)</t>
  </si>
  <si>
    <t xml:space="preserve">MB consolidada</t>
  </si>
  <si>
    <t xml:space="preserve">HBM - sub-bloco memo (nao alimenta a DRE; estimativas em azul, ver comentarios)</t>
  </si>
  <si>
    <t xml:space="preserve">TAM de HBM (US$ mn, ano calendario ~ ano fiscal)</t>
  </si>
  <si>
    <t xml:space="preserve">Share da Micron em HBM</t>
  </si>
  <si>
    <t xml:space="preserve">Receita de HBM = TAM x share</t>
  </si>
  <si>
    <t xml:space="preserve">   HBM % receita DRAM</t>
  </si>
  <si>
    <t xml:space="preserve">DRAM convencional = DRAM - HBM</t>
  </si>
  <si>
    <t xml:space="preserve">Gap de MB: HBM abaixo do DRAM convencional (p.p.)</t>
  </si>
  <si>
    <t xml:space="preserve">MB DRAM convencional (implicita)</t>
  </si>
  <si>
    <t xml:space="preserve">MB HBM (implicita)</t>
  </si>
  <si>
    <t xml:space="preserve">HBM - divulgacoes (texto, prepared remarks)</t>
  </si>
  <si>
    <t xml:space="preserve">remarks</t>
  </si>
  <si>
    <t xml:space="preserve">3T24: &gt;100 mn de HBM3E; CY24/25 vendidos</t>
  </si>
  <si>
    <t xml:space="preserve">2T25 &gt;1,0 bi; 3T25 run-rate &gt;6 bi anualizado; 4T25 ~2,0 bi</t>
  </si>
  <si>
    <t xml:space="preserve">sem US$ divulgado; 4T26 cresceu mais que a receita total; CY27 contratado com alta de preco</t>
  </si>
  <si>
    <t xml:space="preserve">Receita por unidade de negocio (reorganizacao no 4T25: CMBU/CDBU/MCBU/AEBU; antes CNBU/MBU/EBU/SBU) - FY27E-28E = mix premissa</t>
  </si>
  <si>
    <t xml:space="preserve">CMBU - Cloud Memory</t>
  </si>
  <si>
    <t xml:space="preserve">est.</t>
  </si>
  <si>
    <t xml:space="preserve">n.d.</t>
  </si>
  <si>
    <t xml:space="preserve">CDBU - Core Data Center</t>
  </si>
  <si>
    <t xml:space="preserve">MCBU - Mobile &amp; Client</t>
  </si>
  <si>
    <t xml:space="preserve">AEBU - Automotive &amp; Embedded</t>
  </si>
  <si>
    <t xml:space="preserve">Total BUs</t>
  </si>
  <si>
    <t xml:space="preserve">   mix CMBU</t>
  </si>
  <si>
    <t xml:space="preserve">   mix CDBU</t>
  </si>
  <si>
    <t xml:space="preserve">   mix MCBU</t>
  </si>
  <si>
    <t xml:space="preserve">   mix AEBU</t>
  </si>
  <si>
    <t xml:space="preserve">Check segmentos (todas as colunas)</t>
  </si>
  <si>
    <t xml:space="preserve">DRE - demonstracao de resultados (GAAP) e ponte non-GAAP</t>
  </si>
  <si>
    <t xml:space="preserve">historico 8-K/10-K (FY26A nao auditado, 53 semanas); custos com sinal negativo; crescimento 'n.m.' quando a base e &lt;= 0 ou a variacao passa de 500%</t>
  </si>
  <si>
    <t xml:space="preserve">COGS</t>
  </si>
  <si>
    <t xml:space="preserve">Lucro bruto (LB)</t>
  </si>
  <si>
    <t xml:space="preserve">   MB</t>
  </si>
  <si>
    <t xml:space="preserve">R&amp;D</t>
  </si>
  <si>
    <t xml:space="preserve">SG&amp;A</t>
  </si>
  <si>
    <t xml:space="preserve">Outros op. / reestruturacao</t>
  </si>
  <si>
    <t xml:space="preserve">   mg EBIT</t>
  </si>
  <si>
    <t xml:space="preserve">D&amp;A</t>
  </si>
  <si>
    <t xml:space="preserve">DFC</t>
  </si>
  <si>
    <t xml:space="preserve">Receita de juros (caixa e aplicacoes)</t>
  </si>
  <si>
    <t xml:space="preserve">Despesa de juros</t>
  </si>
  <si>
    <t xml:space="preserve">Resultado financeiro</t>
  </si>
  <si>
    <t xml:space="preserve">Outros nao-operacionais</t>
  </si>
  <si>
    <t xml:space="preserve">LAIR</t>
  </si>
  <si>
    <t xml:space="preserve">IR</t>
  </si>
  <si>
    <t xml:space="preserve">   aliquota efetiva</t>
  </si>
  <si>
    <t xml:space="preserve">Equivalencia patrimonial</t>
  </si>
  <si>
    <t xml:space="preserve">Lucro liquido (LL)</t>
  </si>
  <si>
    <t xml:space="preserve">   mg liquida</t>
  </si>
  <si>
    <t xml:space="preserve">   cresc. LL a/a</t>
  </si>
  <si>
    <t xml:space="preserve">Acoes diluidas (mn, media)</t>
  </si>
  <si>
    <t xml:space="preserve">EPS GAAP diluido (US$)</t>
  </si>
  <si>
    <t xml:space="preserve">reportado</t>
  </si>
  <si>
    <t xml:space="preserve">   cresc. EPS a/a</t>
  </si>
  <si>
    <t xml:space="preserve">Ponte non-GAAP</t>
  </si>
  <si>
    <t xml:space="preserve">(+) SBC</t>
  </si>
  <si>
    <t xml:space="preserve">(+) Reestruturacao / outros ajustes</t>
  </si>
  <si>
    <t xml:space="preserve">hist.: residual</t>
  </si>
  <si>
    <t xml:space="preserve">(-) Efeito fiscal dos ajustes</t>
  </si>
  <si>
    <t xml:space="preserve">LL non-GAAP</t>
  </si>
  <si>
    <t xml:space="preserve">   cresc. EPS non-GAAP a/a</t>
  </si>
  <si>
    <t xml:space="preserve">DPS (US$)</t>
  </si>
  <si>
    <t xml:space="preserve">Payout (DPS / EPS GAAP)</t>
  </si>
  <si>
    <t xml:space="preserve">BP - balanco patrimonial</t>
  </si>
  <si>
    <t xml:space="preserve">historico 8-K/10-K (FY26A condensado do press release); caixa projetado = caixa anterior + variacao de caixa do FC</t>
  </si>
  <si>
    <t xml:space="preserve">Caixa e aplicacoes (CP + LP)</t>
  </si>
  <si>
    <t xml:space="preserve">proj: FC</t>
  </si>
  <si>
    <t xml:space="preserve">   memo: caixa e equivalentes</t>
  </si>
  <si>
    <t xml:space="preserve">   memo: aplicacoes de curto prazo</t>
  </si>
  <si>
    <t xml:space="preserve">   memo: aplicacoes de longo prazo (marketable)</t>
  </si>
  <si>
    <t xml:space="preserve">Contas a receber</t>
  </si>
  <si>
    <t xml:space="preserve">Estoques</t>
  </si>
  <si>
    <t xml:space="preserve">Outros ativos circulantes</t>
  </si>
  <si>
    <t xml:space="preserve">Ativo circulante (ex-aplicacoes LP)</t>
  </si>
  <si>
    <t xml:space="preserve">Imobilizado liquido</t>
  </si>
  <si>
    <t xml:space="preserve">Goodwill e intangiveis</t>
  </si>
  <si>
    <t xml:space="preserve">Outros ativos nao-circulantes</t>
  </si>
  <si>
    <t xml:space="preserve">Ativo total</t>
  </si>
  <si>
    <t xml:space="preserve">Fornecedores e provisoes</t>
  </si>
  <si>
    <t xml:space="preserve">Divida de curto prazo</t>
  </si>
  <si>
    <t xml:space="preserve">Outros passivos circulantes</t>
  </si>
  <si>
    <t xml:space="preserve">Passivo circulante</t>
  </si>
  <si>
    <t xml:space="preserve">Divida de longo prazo</t>
  </si>
  <si>
    <t xml:space="preserve">Passivos contratuais de clientes (depositos SCA)</t>
  </si>
  <si>
    <t xml:space="preserve">SCAs</t>
  </si>
  <si>
    <t xml:space="preserve">Outros passivos nao-circulantes</t>
  </si>
  <si>
    <t xml:space="preserve">Passivo total</t>
  </si>
  <si>
    <t xml:space="preserve">Patrimonio liquido</t>
  </si>
  <si>
    <t xml:space="preserve">Passivo + PL</t>
  </si>
  <si>
    <t xml:space="preserve">Check: ativo - passivo - PL</t>
  </si>
  <si>
    <t xml:space="preserve">Check BP</t>
  </si>
  <si>
    <t xml:space="preserve">Check BP (todos os anos)</t>
  </si>
  <si>
    <t xml:space="preserve">memo: net cash (caixa e aplicacoes - divida)</t>
  </si>
  <si>
    <t xml:space="preserve">memo: net cash ex-depositos SCA</t>
  </si>
  <si>
    <t xml:space="preserve">FC - fluxo de caixa (metodo indireto)</t>
  </si>
  <si>
    <t xml:space="preserve">historico 8-K/10-K; capex liquido na definicao da Micron (liquido de incentivos); FCF = FCO - capex liquido; depositos SCA em financiamento (como a empresa)</t>
  </si>
  <si>
    <t xml:space="preserve">Lucro liquido</t>
  </si>
  <si>
    <t xml:space="preserve">(+) D&amp;A</t>
  </si>
  <si>
    <t xml:space="preserve">(+) Outros nao-caixa (hist.)</t>
  </si>
  <si>
    <t xml:space="preserve">proj.: 0</t>
  </si>
  <si>
    <t xml:space="preserve">(-) Var. contas a receber</t>
  </si>
  <si>
    <t xml:space="preserve">(-) Var. estoques</t>
  </si>
  <si>
    <t xml:space="preserve">(-) Var. outros ativos</t>
  </si>
  <si>
    <t xml:space="preserve">(+) Var. fornecedores e provisoes</t>
  </si>
  <si>
    <t xml:space="preserve">(+) Var. outros passivos / demais (hist. inclui outros)</t>
  </si>
  <si>
    <t xml:space="preserve">FCO</t>
  </si>
  <si>
    <t xml:space="preserve">   memo: FCO reportado</t>
  </si>
  <si>
    <t xml:space="preserve">(-) Capex liquido</t>
  </si>
  <si>
    <t xml:space="preserve">liq. incent.</t>
  </si>
  <si>
    <t xml:space="preserve">(-) Aplicacoes financeiras liquidas (hist.)</t>
  </si>
  <si>
    <t xml:space="preserve">Outros investimentos (hist.: residual)</t>
  </si>
  <si>
    <t xml:space="preserve">FCI</t>
  </si>
  <si>
    <t xml:space="preserve">   memo: FCI reportado</t>
  </si>
  <si>
    <t xml:space="preserve">FCF (FCO - capex liquido)</t>
  </si>
  <si>
    <t xml:space="preserve">   memo: FCF ajustado reportado pela empresa</t>
  </si>
  <si>
    <t xml:space="preserve">   FCF / receita</t>
  </si>
  <si>
    <t xml:space="preserve">(-) Dividendos</t>
  </si>
  <si>
    <t xml:space="preserve">(-) Recompras</t>
  </si>
  <si>
    <t xml:space="preserve">(+/-) Captacao / amortizacao de divida</t>
  </si>
  <si>
    <t xml:space="preserve">(+/-) Depositos de clientes (SCAs): recebidos / consumidos</t>
  </si>
  <si>
    <t xml:space="preserve">Outros (hist.: residual, inclui withholding de RSUs)</t>
  </si>
  <si>
    <t xml:space="preserve">FCF ao acionista / financiamento (FCF - div - recompras +/- divida +/- SCA + outros)</t>
  </si>
  <si>
    <t xml:space="preserve">   memo: fluxo de financiamento reportado</t>
  </si>
  <si>
    <t xml:space="preserve">Efeito cambial</t>
  </si>
  <si>
    <t xml:space="preserve">Variacao de caixa</t>
  </si>
  <si>
    <t xml:space="preserve">   memo: var. caixa e restrito reportada</t>
  </si>
  <si>
    <t xml:space="preserve">cx+restr.</t>
  </si>
  <si>
    <t xml:space="preserve">Caixa e aplicacoes inicial (BP)</t>
  </si>
  <si>
    <t xml:space="preserve">Caixa e aplicacoes final -&gt; BP (hist.: link ao BP)</t>
  </si>
  <si>
    <t xml:space="preserve">hist.: BP</t>
  </si>
  <si>
    <t xml:space="preserve">Check: hist. var. calc. - reportada | proj. caixa BP - FC</t>
  </si>
  <si>
    <t xml:space="preserve">Check caixa</t>
  </si>
  <si>
    <t xml:space="preserve">Check caixa (todos os anos)</t>
  </si>
  <si>
    <t xml:space="preserve">FCF yield (FCF / mkt cap atual; so FY26A em diante)</t>
  </si>
  <si>
    <t xml:space="preserve">FCF por acao (US$)</t>
  </si>
  <si>
    <t xml:space="preserve">Suporte - imobilizado, capital de giro, divida, acoes e depositos de clientes</t>
  </si>
  <si>
    <t xml:space="preserve">projecoes leem a linha 'Selecionado' da aba Premissas; receita de juros sobre o caixa inicial e dividendos sobre as acoes iniciais (evita circularidade)</t>
  </si>
  <si>
    <t xml:space="preserve">Ano fiscal (num.)</t>
  </si>
  <si>
    <t xml:space="preserve">(a) Imobilizado</t>
  </si>
  <si>
    <t xml:space="preserve">PP&amp;E liq. inicial</t>
  </si>
  <si>
    <t xml:space="preserve">FY22 n.d.</t>
  </si>
  <si>
    <t xml:space="preserve">(+) Capex liquido</t>
  </si>
  <si>
    <t xml:space="preserve">(-) D&amp;A</t>
  </si>
  <si>
    <t xml:space="preserve">PP&amp;E liq. final</t>
  </si>
  <si>
    <t xml:space="preserve">D&amp;A / PP&amp;E liq. inicial</t>
  </si>
  <si>
    <t xml:space="preserve">Capex / receita</t>
  </si>
  <si>
    <t xml:space="preserve">Capex / D&amp;A (x)</t>
  </si>
  <si>
    <t xml:space="preserve">(b) Capital de giro</t>
  </si>
  <si>
    <t xml:space="preserve">DSO (dias) = CR / receita x 365</t>
  </si>
  <si>
    <t xml:space="preserve">hist: calc.</t>
  </si>
  <si>
    <t xml:space="preserve">DIO (dias) = estoques / COGS x 365</t>
  </si>
  <si>
    <t xml:space="preserve">DPO (dias) = fornecedores e provisoes / COGS x 365</t>
  </si>
  <si>
    <t xml:space="preserve">NWC operacional (CR + estoques - fornecedores)</t>
  </si>
  <si>
    <t xml:space="preserve">Variacao de NWC (aumento = uso de caixa)</t>
  </si>
  <si>
    <t xml:space="preserve">(c) Divida e resultado financeiro</t>
  </si>
  <si>
    <t xml:space="preserve">Divida total inicial</t>
  </si>
  <si>
    <t xml:space="preserve">(-) Vencimento de notas (tabela e)</t>
  </si>
  <si>
    <t xml:space="preserve">tabela (e)</t>
  </si>
  <si>
    <t xml:space="preserve">(-) Amortizacao de finance leases</t>
  </si>
  <si>
    <t xml:space="preserve">(-) Amortizacao total -&gt; FC</t>
  </si>
  <si>
    <t xml:space="preserve">Divida total final</t>
  </si>
  <si>
    <t xml:space="preserve">   da qual finance leases (saldo)</t>
  </si>
  <si>
    <t xml:space="preserve">   da qual curto prazo (vence no ano seguinte)</t>
  </si>
  <si>
    <t xml:space="preserve">   da qual longo prazo</t>
  </si>
  <si>
    <t xml:space="preserve">Custo medio da divida</t>
  </si>
  <si>
    <t xml:space="preserve">Despesa de juros = saldo medio x custo medio</t>
  </si>
  <si>
    <t xml:space="preserve">Caixa e aplicacoes inicial (BP ano anterior)</t>
  </si>
  <si>
    <t xml:space="preserve">Yield do caixa</t>
  </si>
  <si>
    <t xml:space="preserve">Receita de juros = caixa inicial x yield</t>
  </si>
  <si>
    <t xml:space="preserve">cx inicial</t>
  </si>
  <si>
    <t xml:space="preserve">(d) Recompras pela politica de caixa alvo, acoes e dividendos</t>
  </si>
  <si>
    <t xml:space="preserve">Caixa e aplicacoes inicial</t>
  </si>
  <si>
    <t xml:space="preserve">(+) FCF (FCO - capex liquido)</t>
  </si>
  <si>
    <t xml:space="preserve">(+/-) Divida, depositos SCA e outros fluxos</t>
  </si>
  <si>
    <t xml:space="preserve">(-) Caixa e aplicacoes alvo no fim do ano (Premissas)</t>
  </si>
  <si>
    <t xml:space="preserve">Recompras = MAX(0; excedente) -&gt; FC</t>
  </si>
  <si>
    <t xml:space="preserve">   recompras / FCF</t>
  </si>
  <si>
    <t xml:space="preserve">Acoes diluidas - inicio (mn)</t>
  </si>
  <si>
    <t xml:space="preserve">Preco medio de recompra (US$)</t>
  </si>
  <si>
    <t xml:space="preserve">(-) Acoes recompradas (mn)</t>
  </si>
  <si>
    <t xml:space="preserve">(+) Diluicao de SBC (mn)</t>
  </si>
  <si>
    <t xml:space="preserve">Acoes diluidas - fim (mn)</t>
  </si>
  <si>
    <t xml:space="preserve">4T26</t>
  </si>
  <si>
    <t xml:space="preserve">Acoes diluidas - media (mn) -&gt; DRE</t>
  </si>
  <si>
    <t xml:space="preserve">Dividendos pagos (US$ mn) = DPS x acoes iniciais</t>
  </si>
  <si>
    <t xml:space="preserve">sem circ.</t>
  </si>
  <si>
    <t xml:space="preserve">(f) Depositos de clientes sob SCAs (passivo contratual, creditado contra compras futuras)</t>
  </si>
  <si>
    <t xml:space="preserve">Saldo inicial</t>
  </si>
  <si>
    <t xml:space="preserve">(-) Consumo no ano (% do saldo FY26A, Premissas) -&gt; FC</t>
  </si>
  <si>
    <t xml:space="preserve">premissa</t>
  </si>
  <si>
    <t xml:space="preserve">Saldo final -&gt; BP</t>
  </si>
  <si>
    <t xml:space="preserve">(e) Divida por instrumento - 10-Q 28/mai/26 rateado ao saldo de 03/set/26 (10-K FY26 pendente)</t>
  </si>
  <si>
    <t xml:space="preserve">Instrumento</t>
  </si>
  <si>
    <t xml:space="preserve">Cupom</t>
  </si>
  <si>
    <t xml:space="preserve">Venc. (FY)</t>
  </si>
  <si>
    <t xml:space="preserve">Saldo 28/mai/26</t>
  </si>
  <si>
    <t xml:space="preserve">Rateio 03/set/26</t>
  </si>
  <si>
    <t xml:space="preserve">Est.?</t>
  </si>
  <si>
    <t xml:space="preserve">Nota</t>
  </si>
  <si>
    <t xml:space="preserve">2031 Notes (5.300% Senior Notes due 2031)</t>
  </si>
  <si>
    <t xml:space="preserve">Principal original inferido do tender (5,4 bi em 6 series); saldo aproximado pelo valor contabil pos-tender de abr/26</t>
  </si>
  <si>
    <t xml:space="preserve">2032 Green Bonds (2.703% due 2032)</t>
  </si>
  <si>
    <t xml:space="preserve">Emitido em nov/21 (FY22); nao incluido no tender</t>
  </si>
  <si>
    <t xml:space="preserve">2032 Notes (5.650% Senior Notes due 2032)</t>
  </si>
  <si>
    <t xml:space="preserve">Emitido no FY25; quase todo recomprado no tender de abr/26</t>
  </si>
  <si>
    <t xml:space="preserve">2033 A Notes (5.875% due 2033)</t>
  </si>
  <si>
    <t xml:space="preserve">Principal original inferido (tender total 5,4 bi); saldo de 746 em ago/25 sugere recompras parciais anteriores</t>
  </si>
  <si>
    <t xml:space="preserve">2033 B Notes (5.875% due 2033)</t>
  </si>
  <si>
    <t xml:space="preserve">750 mn em circulacao antes do tender (release de expiracao); ~574 mn recomprados; tabela do 10-Q mostra 892 em ago/25 - conflito registrado em Notas</t>
  </si>
  <si>
    <t xml:space="preserve">2035 A Notes (5.800% due 2035)</t>
  </si>
  <si>
    <t xml:space="preserve">Emitido em jan/25 (~992 liquidos); ~863 mn recomprados no tender</t>
  </si>
  <si>
    <t xml:space="preserve">2035 B Notes (6.050% due 2035)</t>
  </si>
  <si>
    <t xml:space="preserve">~1,03 bi recomprados no tender de abr/26</t>
  </si>
  <si>
    <t xml:space="preserve">2041 Notes (3.366% due 2041)</t>
  </si>
  <si>
    <t xml:space="preserve">Emitido em nov/21; nao incluido no tender</t>
  </si>
  <si>
    <t xml:space="preserve">2051 Notes (3.477% due 2051)</t>
  </si>
  <si>
    <t xml:space="preserve">10 mn de principal recomprados em jan/26 por 7 mn</t>
  </si>
  <si>
    <t xml:space="preserve">Finance lease obligations</t>
  </si>
  <si>
    <t xml:space="preserve">varios</t>
  </si>
  <si>
    <t xml:space="preserve">Taxa efetiva 4,72%; 582 CP / 2.088 LP em 28/mai/26; amortizacao anual na linha (c) via premissa</t>
  </si>
  <si>
    <t xml:space="preserve">Soma da tabela</t>
  </si>
  <si>
    <t xml:space="preserve">Divida total em 03/set/26 (BP: 491 CP + 4.688 LP)</t>
  </si>
  <si>
    <t xml:space="preserve">Fator de rateio = saldo 03/set/26 / soma 28/mai/26</t>
  </si>
  <si>
    <t xml:space="preserve">Cupom medio ponderado (notas + leases, mai/26)</t>
  </si>
  <si>
    <t xml:space="preserve">Rating: Moody's Baa2 estavel (upgrade 08/jan/26; relato nao confirmado de Baa1 em ~ago/26) | S&amp;P BBB positivo (afirmado 26/mai/26) | Fitch BBB estavel (afirmado dez/25; sem acao em 2026 localizada - confirmar)</t>
  </si>
  <si>
    <t xml:space="preserve">DCF - FCFF FY27E-FY31E + ano normalizado (mid-cycle)</t>
  </si>
  <si>
    <t xml:space="preserve">valuation em 07/out/26 (stub: FY27 descontado a ~0,4 ano); preco-alvo 12m = valor justo x (1+Ke) - DPS 12m; ponte EV-&gt;equity deduz divida E depositos SCA; WACC e g da aba Premissas</t>
  </si>
  <si>
    <t xml:space="preserve">n (ano de projecao)</t>
  </si>
  <si>
    <t xml:space="preserve">Lucro bruto</t>
  </si>
  <si>
    <t xml:space="preserve">Desp. op. (R&amp;D + SG&amp;A + outros)</t>
  </si>
  <si>
    <t xml:space="preserve">NOPAT = EBIT x (1 - t)</t>
  </si>
  <si>
    <t xml:space="preserve">(-) Variacao de NWC (normalizado: % x receita norm. x g)</t>
  </si>
  <si>
    <t xml:space="preserve">FCFF</t>
  </si>
  <si>
    <t xml:space="preserve">   FCFF / receita</t>
  </si>
  <si>
    <t xml:space="preserve">Periodo de desconto (t) = stub FY27 + (n-1)</t>
  </si>
  <si>
    <t xml:space="preserve">Fator de desconto</t>
  </si>
  <si>
    <t xml:space="preserve">VP do FCFF</t>
  </si>
  <si>
    <t xml:space="preserve">Valuation</t>
  </si>
  <si>
    <t xml:space="preserve">Soma VP FCFF FY27E-FY31E</t>
  </si>
  <si>
    <t xml:space="preserve">Valor terminal (TV) = FCFF norm. x (1+g) / (WACC - g)</t>
  </si>
  <si>
    <t xml:space="preserve">VP do TV</t>
  </si>
  <si>
    <t xml:space="preserve">EV</t>
  </si>
  <si>
    <t xml:space="preserve">   TV % EV</t>
  </si>
  <si>
    <t xml:space="preserve">(+) Caixa e aplicacoes FY26A</t>
  </si>
  <si>
    <t xml:space="preserve">(-) Divida e depositos de clientes (SCAs) FY26A</t>
  </si>
  <si>
    <t xml:space="preserve">Equity value</t>
  </si>
  <si>
    <t xml:space="preserve">Acoes diluidas 4T26 (mn)</t>
  </si>
  <si>
    <t xml:space="preserve">8-K 4T26</t>
  </si>
  <si>
    <t xml:space="preserve">Valor justo por acao hoje (US$)</t>
  </si>
  <si>
    <t xml:space="preserve">Ke (12m)</t>
  </si>
  <si>
    <t xml:space="preserve">DPS 12m (FY27E)</t>
  </si>
  <si>
    <t xml:space="preserve">Preco-alvo 12m (US$)</t>
  </si>
  <si>
    <t xml:space="preserve">Preco atual (US$)</t>
  </si>
  <si>
    <t xml:space="preserve">Multiplos implicitos no preco-alvo</t>
  </si>
  <si>
    <t xml:space="preserve">EV implicito (PT x acoes - caixa + divida e depositos)</t>
  </si>
  <si>
    <t xml:space="preserve">EV/EBITDA FY27E</t>
  </si>
  <si>
    <t xml:space="preserve">EV/EBITDA FY28E</t>
  </si>
  <si>
    <t xml:space="preserve">P/E FY27E (non-GAAP)</t>
  </si>
  <si>
    <t xml:space="preserve">P/E FY28E (non-GAAP)</t>
  </si>
  <si>
    <t xml:space="preserve">WACC (link Premissas)</t>
  </si>
  <si>
    <t xml:space="preserve">Rf</t>
  </si>
  <si>
    <t xml:space="preserve">Beta</t>
  </si>
  <si>
    <t xml:space="preserve">ERP</t>
  </si>
  <si>
    <t xml:space="preserve">Ke</t>
  </si>
  <si>
    <t xml:space="preserve">Kd pre-IR</t>
  </si>
  <si>
    <t xml:space="preserve">Peso equity</t>
  </si>
  <si>
    <t xml:space="preserve">Peso divida</t>
  </si>
  <si>
    <t xml:space="preserve">g terminal</t>
  </si>
  <si>
    <t xml:space="preserve">Meio de ano (1/0)</t>
  </si>
  <si>
    <t xml:space="preserve">Stub FY27 = (fim do FY27 - data de valuation) / 365</t>
  </si>
  <si>
    <t xml:space="preserve">Sensibilidade 1: preco-alvo (US$) - WACC (linhas) x g terminal (colunas); NWC normalizado recalculado com o g de cada coluna</t>
  </si>
  <si>
    <t xml:space="preserve">passo WACC</t>
  </si>
  <si>
    <t xml:space="preserve">passo g</t>
  </si>
  <si>
    <t xml:space="preserve">passo MB</t>
  </si>
  <si>
    <t xml:space="preserve">WACC \ g</t>
  </si>
  <si>
    <t xml:space="preserve">Conferencia: centro - preco-alvo do DCF</t>
  </si>
  <si>
    <t xml:space="preserve">Sensibilidade 2: preco-alvo (US$) - WACC (linhas) x MB normalizada (colunas)</t>
  </si>
  <si>
    <t xml:space="preserve">WACC \ MB</t>
  </si>
  <si>
    <t xml:space="preserve">Ke fixo do cabecalho no roll-forward de 12m; so WACC, g e MB variam nas tabelas</t>
  </si>
  <si>
    <t xml:space="preserve">Multiplos - MU ao preco atual e peers</t>
  </si>
  <si>
    <t xml:space="preserve">MU: formulas sobre o modelo com uma unica base de acoes (diluidas 4T26 = 1.147 mn em mkt cap, EV e valor por acao; basicas so como memo); EV inclui depositos SCA como divida-like; peers: snapshot 06/out/26 em azul, fonte e data no comentario; n.d. = nao encontrado</t>
  </si>
  <si>
    <t xml:space="preserve">Preco MU (US$, 06/out/26)</t>
  </si>
  <si>
    <t xml:space="preserve">   memo: acoes basicas em circulacao (mn, agregador 06/out/26)</t>
  </si>
  <si>
    <t xml:space="preserve">Mkt cap (US$ mn)</t>
  </si>
  <si>
    <t xml:space="preserve">(-) Caixa e aplicacoes FY26A</t>
  </si>
  <si>
    <t xml:space="preserve">(+) Divida FY26A</t>
  </si>
  <si>
    <t xml:space="preserve">(+) Depositos de clientes SCA FY26A (divida-like)</t>
  </si>
  <si>
    <t xml:space="preserve">EV (US$ mn)</t>
  </si>
  <si>
    <t xml:space="preserve">c/ SCA</t>
  </si>
  <si>
    <t xml:space="preserve">   net cash (caixa - divida)</t>
  </si>
  <si>
    <t xml:space="preserve">   net cash por acao (US$)</t>
  </si>
  <si>
    <t xml:space="preserve">MU - multiplos ao preco atual</t>
  </si>
  <si>
    <t xml:space="preserve">EV / Receita</t>
  </si>
  <si>
    <t xml:space="preserve">EV / EBITDA</t>
  </si>
  <si>
    <t xml:space="preserve">P/E GAAP</t>
  </si>
  <si>
    <t xml:space="preserve">P/E non-GAAP</t>
  </si>
  <si>
    <t xml:space="preserve">P/B</t>
  </si>
  <si>
    <t xml:space="preserve">FCF yield</t>
  </si>
  <si>
    <t xml:space="preserve">Peers (preco e mkt cap de 06/out/26; multiplos conforme data na nota). Media/mediana so dos peers de memoria; NVDA e WDC como referencia</t>
  </si>
  <si>
    <t xml:space="preserve">Empresa</t>
  </si>
  <si>
    <t xml:space="preserve">Ticker</t>
  </si>
  <si>
    <t xml:space="preserve">Preco (moeda local)</t>
  </si>
  <si>
    <t xml:space="preserve">EV (US$ bn)</t>
  </si>
  <si>
    <t xml:space="preserve">P/E fwd</t>
  </si>
  <si>
    <t xml:space="preserve">P/E TTM</t>
  </si>
  <si>
    <t xml:space="preserve">EV/EBITDA fwd</t>
  </si>
  <si>
    <t xml:space="preserve">EV/EBITDA TTM</t>
  </si>
  <si>
    <t xml:space="preserve">n obs.</t>
  </si>
  <si>
    <t xml:space="preserve">Samsung Electronics</t>
  </si>
  <si>
    <t xml:space="preserve">005930 KS</t>
  </si>
  <si>
    <t xml:space="preserve">SK hynix</t>
  </si>
  <si>
    <t xml:space="preserve">000660 KS</t>
  </si>
  <si>
    <t xml:space="preserve">Kioxia</t>
  </si>
  <si>
    <t xml:space="preserve">285A JP</t>
  </si>
  <si>
    <t xml:space="preserve">SanDisk</t>
  </si>
  <si>
    <t xml:space="preserve">SNDK</t>
  </si>
  <si>
    <t xml:space="preserve">Media peers de memoria</t>
  </si>
  <si>
    <t xml:space="preserve">Mediana peers de memoria</t>
  </si>
  <si>
    <t xml:space="preserve">Micron (modelo, preco atual)</t>
  </si>
  <si>
    <t xml:space="preserve">MU US</t>
  </si>
  <si>
    <t xml:space="preserve">MU vs mediana dos peers de memoria (premio / desconto)</t>
  </si>
  <si>
    <t xml:space="preserve">Referencia (fora da media): cliente de HBM e storage HDD</t>
  </si>
  <si>
    <t xml:space="preserve">Nvidia</t>
  </si>
  <si>
    <t xml:space="preserve">NVDA</t>
  </si>
  <si>
    <t xml:space="preserve">Western Digital</t>
  </si>
  <si>
    <t xml:space="preserve">WDC</t>
  </si>
  <si>
    <t xml:space="preserve">P/E fwd MU = preco / EPS non-GAAP FY27E (FY27 termina set/27); peers em base calendario/fiscal propria - comparacao indicativa</t>
  </si>
  <si>
    <t xml:space="preserve">FX 06/out/26: USDKRW 1337.34 | USDJPY 158.15 (tradingeconomics / investing.com)</t>
  </si>
  <si>
    <t xml:space="preserve">Trimestral - 1T24 a 4T26, guidance 1T27 e trajetoria FY27E por trimestre</t>
  </si>
  <si>
    <t xml:space="preserve">8-K/press releases, 10-Q e prepared remarks; 4T26 com 14 semanas; valores estimados/derivados com comentario (fonte | base | observacao); colunas 1T27E-4T27E: 1T27E = guia, 2T-3T = t/t da aba Premissas, 4T27E = residual do FY27E da DRE</t>
  </si>
  <si>
    <t xml:space="preserve">1T24</t>
  </si>
  <si>
    <t xml:space="preserve">2T24</t>
  </si>
  <si>
    <t xml:space="preserve">3T24</t>
  </si>
  <si>
    <t xml:space="preserve">4T24</t>
  </si>
  <si>
    <t xml:space="preserve">1T25</t>
  </si>
  <si>
    <t xml:space="preserve">2T25</t>
  </si>
  <si>
    <t xml:space="preserve">3T25</t>
  </si>
  <si>
    <t xml:space="preserve">4T25</t>
  </si>
  <si>
    <t xml:space="preserve">1T26</t>
  </si>
  <si>
    <t xml:space="preserve">2T26</t>
  </si>
  <si>
    <t xml:space="preserve">3T26</t>
  </si>
  <si>
    <t xml:space="preserve">1T27 guia</t>
  </si>
  <si>
    <t xml:space="preserve">1T27E</t>
  </si>
  <si>
    <t xml:space="preserve">2T27E</t>
  </si>
  <si>
    <t xml:space="preserve">3T27E</t>
  </si>
  <si>
    <t xml:space="preserve">4T27E</t>
  </si>
  <si>
    <t xml:space="preserve">8-K</t>
  </si>
  <si>
    <t xml:space="preserve">   DRAM</t>
  </si>
  <si>
    <t xml:space="preserve">   NAND</t>
  </si>
  <si>
    <t xml:space="preserve">   cresc. t/t</t>
  </si>
  <si>
    <t xml:space="preserve">MB GAAP</t>
  </si>
  <si>
    <t xml:space="preserve">MB non-GAAP</t>
  </si>
  <si>
    <t xml:space="preserve">Desp. op. non-GAAP (FY27E: GAAP/4)</t>
  </si>
  <si>
    <t xml:space="preserve">EBIT non-GAAP (FY27E: LB - opex)</t>
  </si>
  <si>
    <t xml:space="preserve">EPS GAAP (US$)</t>
  </si>
  <si>
    <t xml:space="preserve">Acoes diluidas (mn)</t>
  </si>
  <si>
    <t xml:space="preserve">Capex liq.</t>
  </si>
  <si>
    <t xml:space="preserve">FCF ajustado</t>
  </si>
  <si>
    <t xml:space="preserve">Caixa e aplicacoes</t>
  </si>
  <si>
    <t xml:space="preserve">Divida total</t>
  </si>
  <si>
    <t xml:space="preserve">DIO (dias, empresa)</t>
  </si>
  <si>
    <t xml:space="preserve">Bits e ASP t/t (resumo do texto do 10-Q / prepared remarks; FY27E: implicito = receita t/t / bits t/t, com bits t/t = (1+bits a/a)^(1/4)-1)</t>
  </si>
  <si>
    <t xml:space="preserve">DRAM bits t/t</t>
  </si>
  <si>
    <t xml:space="preserve">10-Q/remarks</t>
  </si>
  <si>
    <t xml:space="preserve">bits +low-20s%</t>
  </si>
  <si>
    <t xml:space="preserve">bits +low single-digit%</t>
  </si>
  <si>
    <t xml:space="preserve">bits -mid single-digit%</t>
  </si>
  <si>
    <t xml:space="preserve">bits +low double-digit%</t>
  </si>
  <si>
    <t xml:space="preserve">bits -high single-digit%</t>
  </si>
  <si>
    <t xml:space="preserve">bits +&gt;20%</t>
  </si>
  <si>
    <t xml:space="preserve">bits +low-teens%</t>
  </si>
  <si>
    <t xml:space="preserve">bits levemente maiores</t>
  </si>
  <si>
    <t xml:space="preserve">bits +mid single-digit%</t>
  </si>
  <si>
    <t xml:space="preserve">DRAM ASP t/t</t>
  </si>
  <si>
    <t xml:space="preserve">ASP +low single-digit%</t>
  </si>
  <si>
    <t xml:space="preserve">ASP +high-teens%</t>
  </si>
  <si>
    <t xml:space="preserve">ASP +~20%</t>
  </si>
  <si>
    <t xml:space="preserve">ASP +high single-digit%</t>
  </si>
  <si>
    <t xml:space="preserve">ASP +mid single-digit% (mix)</t>
  </si>
  <si>
    <t xml:space="preserve">ASP -low single-digit% (mix consumo)</t>
  </si>
  <si>
    <t xml:space="preserve">ASP +low double-digit%</t>
  </si>
  <si>
    <t xml:space="preserve">ASP +mid-60s%</t>
  </si>
  <si>
    <t xml:space="preserve">ASP +low-60s%</t>
  </si>
  <si>
    <t xml:space="preserve">NAND bits t/t</t>
  </si>
  <si>
    <t xml:space="preserve">bits -mid-teens% (apos recorde no 4T23)</t>
  </si>
  <si>
    <t xml:space="preserve">bits -low single-digit%</t>
  </si>
  <si>
    <t xml:space="preserve">bits +high single-digit%</t>
  </si>
  <si>
    <t xml:space="preserve">bits modestamente maiores</t>
  </si>
  <si>
    <t xml:space="preserve">bits +mid-20s%</t>
  </si>
  <si>
    <t xml:space="preserve">bits +mid/high single-digit%</t>
  </si>
  <si>
    <t xml:space="preserve">bits +~10%</t>
  </si>
  <si>
    <t xml:space="preserve">NAND ASP t/t</t>
  </si>
  <si>
    <t xml:space="preserve">ASP +&gt;30%</t>
  </si>
  <si>
    <t xml:space="preserve">ASP -low single-digit%</t>
  </si>
  <si>
    <t xml:space="preserve">ASP -high-teens%</t>
  </si>
  <si>
    <t xml:space="preserve">ASP -high single-digit%</t>
  </si>
  <si>
    <t xml:space="preserve">ASP +high single-digit% (mix)</t>
  </si>
  <si>
    <t xml:space="preserve">ASP +mid-teens%</t>
  </si>
  <si>
    <t xml:space="preserve">ASP +high-70s%</t>
  </si>
  <si>
    <t xml:space="preserve">ASP +mid-80s%</t>
  </si>
  <si>
    <t xml:space="preserve">ASP +~30%</t>
  </si>
  <si>
    <t xml:space="preserve">HBM (comentario)</t>
  </si>
  <si>
    <t xml:space="preserve">HBM3E em qualificacao; sem receita de HBM</t>
  </si>
  <si>
    <t xml:space="preserve">HBM3E em producao; CY24 vendido</t>
  </si>
  <si>
    <t xml:space="preserve">CY24 e CY25 vendidos; &gt;100 mn de HBM3E no trimestre</t>
  </si>
  <si>
    <t xml:space="preserve">SSD de data center &gt;1 bi pela 1a vez; rampa de HBM3E 8-high</t>
  </si>
  <si>
    <t xml:space="preserve">receita de HBM mais que dobrou t/t</t>
  </si>
  <si>
    <t xml:space="preserve">HBM &gt;1 bi no trimestre (+&gt;50% t/t)</t>
  </si>
  <si>
    <t xml:space="preserve">+~50% t/t; run-rate de saida &gt;6 bi anualizado</t>
  </si>
  <si>
    <t xml:space="preserve">~2 bi no trimestre (~8 bi anualizado)</t>
  </si>
  <si>
    <t xml:space="preserve">acordos CY26 de preco/volume fechados; TAM 35 bi (2025) -&gt; ~100 bi (2028)</t>
  </si>
  <si>
    <t xml:space="preserve">recorde (sem US$); inicio dos embarques de HBM4 36GB 12-high</t>
  </si>
  <si>
    <t xml:space="preserve">HBM4 12-high: rampa 2x mais rapida que HBM3E; &gt;1 bi acumulado; CY26 vendido</t>
  </si>
  <si>
    <t xml:space="preserve">cresceu mais que a receita total; vasta maioria do HBM CY27 contratada com alta de preco</t>
  </si>
  <si>
    <t xml:space="preserve">CY27 HBM contratado com alta de preco relevante; ~75% dos embarques FY27 comprometidos</t>
  </si>
  <si>
    <t xml:space="preserve">Receita por BU (nova estrutura a partir do 4T25)</t>
  </si>
  <si>
    <t xml:space="preserve">CMBU</t>
  </si>
  <si>
    <t xml:space="preserve">CDBU</t>
  </si>
  <si>
    <t xml:space="preserve">MCBU</t>
  </si>
  <si>
    <t xml:space="preserve">AEBU</t>
  </si>
  <si>
    <t xml:space="preserve">Segmentos legados (ate 3T25)</t>
  </si>
  <si>
    <t xml:space="preserve">CNBU</t>
  </si>
  <si>
    <t xml:space="preserve">MBU</t>
  </si>
  <si>
    <t xml:space="preserve">EBU</t>
  </si>
  <si>
    <t xml:space="preserve">SBU</t>
  </si>
  <si>
    <t xml:space="preserve">Conferencia FY27E vs guidance 1T27 e consenso</t>
  </si>
  <si>
    <t xml:space="preserve">Guidance 1T27 x 4 (receita)</t>
  </si>
  <si>
    <t xml:space="preserve">Receita FY27E (modelo)</t>
  </si>
  <si>
    <t xml:space="preserve">   modelo / (4 x guia) - 1</t>
  </si>
  <si>
    <t xml:space="preserve">Receita FY27E / 4 vs guia 1T27 (sanity)</t>
  </si>
  <si>
    <t xml:space="preserve">MB GAAP guia 1T27 (piso do ano, CFO)</t>
  </si>
  <si>
    <t xml:space="preserve">MB GAAP FY27E (modelo)</t>
  </si>
  <si>
    <t xml:space="preserve">EPS non-GAAP guia 1T27 x 4</t>
  </si>
  <si>
    <t xml:space="preserve">EPS non-GAAP FY27E (modelo)</t>
  </si>
  <si>
    <t xml:space="preserve">Consenso receita FY27E</t>
  </si>
  <si>
    <t xml:space="preserve">Consenso EPS FY27E</t>
  </si>
  <si>
    <t xml:space="preserve">Trajetoria trimestral FY27E - auxiliares</t>
  </si>
  <si>
    <t xml:space="preserve">indice do trimestre - 1</t>
  </si>
  <si>
    <t xml:space="preserve">passo de MB por trimestre (p.p.) = (LB FY27E - MB 1T x rec. FY27E) / soma(rec. x indice)</t>
  </si>
  <si>
    <t xml:space="preserve">EPS 1T27E (modelo) vs guia 38,15</t>
  </si>
  <si>
    <t xml:space="preserve">Check: soma 1T-4T27E - receita FY27E (DRE)</t>
  </si>
  <si>
    <t xml:space="preserve">Check trajetoria</t>
  </si>
  <si>
    <t xml:space="preserve">Ciclo - historico FY2013-FY2026 (referencia visual para a MB normalizada do DCF; nao linkado)</t>
  </si>
  <si>
    <t xml:space="preserve">10-K/8-K por ano; capex = 'expenditures for PP&amp;E' (bruto); FY26A nao auditado; est. = valor estimado/arredondado</t>
  </si>
  <si>
    <t xml:space="preserve">FY13A</t>
  </si>
  <si>
    <t xml:space="preserve">FY14A</t>
  </si>
  <si>
    <t xml:space="preserve">FY15A</t>
  </si>
  <si>
    <t xml:space="preserve">FY16A</t>
  </si>
  <si>
    <t xml:space="preserve">FY17A</t>
  </si>
  <si>
    <t xml:space="preserve">FY18A</t>
  </si>
  <si>
    <t xml:space="preserve">FY19A</t>
  </si>
  <si>
    <t xml:space="preserve">FY20A</t>
  </si>
  <si>
    <t xml:space="preserve">FY21A</t>
  </si>
  <si>
    <t xml:space="preserve">Media FY13-25</t>
  </si>
  <si>
    <t xml:space="preserve">Mediana FY13-25</t>
  </si>
  <si>
    <t xml:space="preserve">Media ex-picos</t>
  </si>
  <si>
    <t xml:space="preserve">mg EBIT</t>
  </si>
  <si>
    <t xml:space="preserve">Capex (bruto, PP&amp;E)</t>
  </si>
  <si>
    <t xml:space="preserve">FCF simples (FCO - capex bruto)</t>
  </si>
  <si>
    <t xml:space="preserve">DRAM % receita</t>
  </si>
  <si>
    <t xml:space="preserve">Flag</t>
  </si>
  <si>
    <t xml:space="preserve"> 53s</t>
  </si>
  <si>
    <t xml:space="preserve">est. 53s</t>
  </si>
  <si>
    <t xml:space="preserve">ex FY18, FY22</t>
  </si>
  <si>
    <t xml:space="preserve">Comentario de ciclo</t>
  </si>
  <si>
    <t xml:space="preserve">Ciclo 2016-18. Vale no FY16: ASP de DRAM -35% a/a e NAND -20%, GM 20%, EBIT 1% da receita, prejuizo de US$276 mn, fruto da fraqueza de PC e do excesso de bits pos-Elpida.</t>
  </si>
  <si>
    <t xml:space="preserve">A subida levou dois anos: GM 41,5% no FY17 e 59% no FY18 (EBIT 49%, lucro US$14,1 bi), com ASP de DRAM +35% e bits +20% no FY18; o pico de margem durou cerca de um ano fiscal e o capex dobrou (US$4,7 bi -&gt; US$8,9 bi) junto com o da industria, semeando a queda.</t>
  </si>
  <si>
    <t xml:space="preserve">Ciclo 2019-20. ASP de DRAM ~-30% no FY19 e mais mid-30s% no FY20 (NAND -mid-40s% no FY19); GM caiu de 59% para 46% e 31%, EBIT de 49% para 31% e 14%. Ciclo raso em lucro: sem prejuizo, FCF ajustado positivo (US$0,4 bi no FY20), porque cortes de capex/wafers vieram cedo e cloud/mobile absorveram bits (+low-30s% no FY20).</t>
  </si>
  <si>
    <t xml:space="preserve">Do vale (FY20) ao pico seguinte foram ~2 anos: GM 37,6% no FY21 e 45% no FY22.</t>
  </si>
  <si>
    <t xml:space="preserve">Ciclo 2021-23. Pico curto (~3 trimestres em 2022; GM 45%, EBIT 31,5%, capex 39% da receita) seguido do colapso mais profundo da historia recente: receita -49% no FY23, ASP de DRAM -high-40s% e NAND -low-50s%, GM -9% (incl. baixa de estoque de US$1,8 bi), EBIT -37%, prejuizo de US$5,8 bi, FCF ajustado -US$5,5 bi.</t>
  </si>
  <si>
    <t xml:space="preserve">Resposta: capex -36%, reestruturacao com headcount -15%; do vale (FY23) ate GM de 40% (FY25) foram ~2 anos, e o pico anterior de 45% so foi superado no FY26.</t>
  </si>
  <si>
    <t xml:space="preserve">Ciclo 2024-26. Comecou como ciclo de HBM/servidor de IA e virou choque de oferta generalizado: ASP de DRAM +low-40s% no FY25 e +~20% (FQ1-26), +low-60s% (FQ3-26) e +high-teens% (FQ4-26) t/t; receita FY26 de US$133 bi (3,5x o recorde anterior, com 53 semanas), GM 81% no ano e 87% na saida, EBIT 75% da receita, DRAM 76% do mix. Nenhum ciclo anterior passou de 59% de GM.</t>
  </si>
  <si>
    <t xml:space="preserve">O que difere: (1) HBM, muito mais intensiva em wafers por bit, vendida ate CY27 com preco em alta e sustentada por take-or-pay (26 SCAs, &gt;35% da receita ate 2030 com floor; US$12,7 bi de depositos de clientes no balanco; &gt;75% do output do FY27 comprometido).</t>
  </si>
  <si>
    <t xml:space="preserve">(2) Disciplina de capex: apesar de US$30,7 bi no FY26, a intensidade caiu para 23% da receita (vs 39% no FY22 e 42% no FY19), e o incremento do FY27 e majoritariamente obra civil, com cleanroom chegando so em meados de 2027 (ID1), fim de 2028 (ID2, Hiroshima) e 2030 (NY).</t>
  </si>
  <si>
    <t xml:space="preserve">(3) Retornos decrescentes das transicoes de no (1-gamma) limitam o crescimento de bits por wafer; a propria Micron diz nao ter visibilidade de quando oferta e demanda se equilibram e espera mercado apertado em FY27 e FY28.</t>
  </si>
  <si>
    <t xml:space="preserve">(4) CXMT ja tem 7-10% de share e ~350k wpm ate fim de 2026 (perto da Micron), mas com DUV e HBM3 no melhor caso no fim de 2026: pressiona DDR4/DDR5 commodity, nao HBM. (5) Em NAND, eSSD passou a 48% dos bits e YMTC a 14% de share; a TrendForce ja ve afrouxamento de oferta de NAND no 2S27.</t>
  </si>
  <si>
    <t xml:space="preserve">Risco classico: Samsung (&gt;110 tri won de capex+P&amp;D em 2026, P5 2028-29), SK hynix (capex high-40s tri won em 2026, M15X e Yongin 2027-29) e Micron expandem ao mesmo tempo; historicamente a oferta nova chega 2-3 anos depois e derruba o preco.</t>
  </si>
  <si>
    <t xml:space="preserve">Tetos de preco nos LTAs desde 2Q26 e dois trimestres de queda sequencial de bits em mobile/client sao os primeiros sinais de elasticidade.</t>
  </si>
  <si>
    <t xml:space="preserve">Diferenca estrutural: o piso de margem do proximo vale deve ficar bem acima dos anteriores (floor contratual, mix de HBM, capex incremental lento), mas 87% de GM e pico, nao nivel de normalizacao.</t>
  </si>
  <si>
    <t xml:space="preserve">Referencia: MB normalizada do DCF (Base 62% / Bull 68% / Bear 47%) vs media FY13-25 ~33% e picos de 45-59% (FY18, FY22) - input independente na aba Premissas.</t>
  </si>
  <si>
    <t xml:space="preserve">Notas - controle de versao, legenda, fontes primarias, pendencias e conflitos de fonte</t>
  </si>
  <si>
    <t xml:space="preserve">Modelo Micron (MU) v2 - 07/out/26 - LF</t>
  </si>
  <si>
    <t xml:space="preserve">Controle de versao</t>
  </si>
  <si>
    <t xml:space="preserve">v1 - 07/out/26 - modelo inicial pos-4T26 - LF</t>
  </si>
  <si>
    <t xml:space="preserve">v2 - 07/out/26 - rodada 1 de revisao: caixa final historico ligado ao BP; NWC do ano normalizado como investimento perpetuo; depositos SCA deduzidos na ponte e consumidos em FY27-30; recompras pela politica de caixa alvo; stub de desconto; base unica de acoes (1.147 mn diluidas); bloco HBM e mix por BU; trajetoria trimestral FY27E; Resumo com recomendacao, PT ponderado e consenso - LF</t>
  </si>
  <si>
    <t xml:space="preserve">Legenda de cores</t>
  </si>
  <si>
    <t xml:space="preserve">Azul: valor hardcoded (historico reportado, premissa, snapshot de mercado)</t>
  </si>
  <si>
    <t xml:space="preserve">Preto: formula</t>
  </si>
  <si>
    <t xml:space="preserve">Verde: link direto para outra aba</t>
  </si>
  <si>
    <t xml:space="preserve">Cinza italico: linhas de memoria / crescimento / notas</t>
  </si>
  <si>
    <t xml:space="preserve">Fundo amarelo: seletor de cenario (Premissas!D4)</t>
  </si>
  <si>
    <t xml:space="preserve">Comentarios de celula: 'fonte | base | observacao'; n.d. = nao divulgado/nao encontrado; n.m. = nao significativo</t>
  </si>
  <si>
    <t xml:space="preserve">Fontes primarias (data do documento)</t>
  </si>
  <si>
    <t xml:space="preserve">- 8-K 30/set/26 - resultados 4T26 e FY26 (ex-99.1): DRE, BP e FC condensados, guidance 1T27</t>
  </si>
  <si>
    <t xml:space="preserve">https://www.sec.gov/Archives/edgar/data/0000723125/000072312526000018/a2026q4ex991-pressrelease.htm</t>
  </si>
  <si>
    <t xml:space="preserve">- Prepared remarks 4T26 (30/set/26): bits/ASP t/t, HBM, SCAs, capex e opex FY27, politica de capital</t>
  </si>
  <si>
    <t xml:space="preserve">https://s25.q4cdn.com/621799436/files/doc_financials/2026/q4/Q4-FY26-Prepared-Remarks.pdf</t>
  </si>
  <si>
    <t xml:space="preserve">- Transcricao da call 4T26 (30/set/26): '100% do caixa excedente', 1T27 como piso de MB, ~1.150 mn acoes</t>
  </si>
  <si>
    <t xml:space="preserve">https://www.investing.com/news/transcripts/earnings-call-transcript-micron-tops-q4-2026-estimates-as-demand-stays-hot-93CH-4925992</t>
  </si>
  <si>
    <t xml:space="preserve">- 10-Q 3T26 (trimestre findo em 28/mai/26): divida por instrumento, leases, revolver, SCAs</t>
  </si>
  <si>
    <t xml:space="preserve">https://www.sec.gov/Archives/edgar/data/0000723125/000072312526000015/mu-20260528.htm</t>
  </si>
  <si>
    <t xml:space="preserve">- 10-Q 2T26 (26/fev/26)</t>
  </si>
  <si>
    <t xml:space="preserve">https://www.sec.gov/Archives/edgar/data/723125/000072312526000006/mu-20260226.htm</t>
  </si>
  <si>
    <t xml:space="preserve">- 8-K abr/26 - resultado do tender offer de seis series de notas (5,4 bi)</t>
  </si>
  <si>
    <t xml:space="preserve">https://www.sec.gov/Archives/edgar/data/723125/000110465926038249/tm2610810d1_ex99-1.htm</t>
  </si>
  <si>
    <t xml:space="preserve">- 10-K FY25 (ano findo em 28/ago/25; arquivado 03/out/25): historico, bits/ASP a/a, segmentos</t>
  </si>
  <si>
    <t xml:space="preserve">https://www.sec.gov/Archives/edgar/data/723125/000072312525000028/mu-20250828.htm</t>
  </si>
  <si>
    <t xml:space="preserve">- 10-K FY24 (29/ago/24)</t>
  </si>
  <si>
    <t xml:space="preserve">https://www.sec.gov/Archives/edgar/data/723125/000072312524000027/mu-20240829.htm</t>
  </si>
  <si>
    <t xml:space="preserve">- Prepared remarks 1T26 (dez/25): TAM de HBM 35 bi (2025) -&gt; ~100 bi (2028)</t>
  </si>
  <si>
    <t xml:space="preserve">https://s25.q4cdn.com/621799436/files/doc_financials/2026/q1/Micron_Q1-2026-Prepared-Remarks.pdf</t>
  </si>
  <si>
    <t xml:space="preserve">- FRED DGS10 - UST 10 anos (06/out/26: 5,27%)</t>
  </si>
  <si>
    <t xml:space="preserve">https://fred.stlouisfed.org/series/dgs10</t>
  </si>
  <si>
    <t xml:space="preserve">- Damodaran - ERP implicito (01/out/26: 4,20%)</t>
  </si>
  <si>
    <t xml:space="preserve">https://pages.stern.nyu.edu/~adamodar/New_Home_Page/home.htm</t>
  </si>
  <si>
    <t xml:space="preserve">- TrendForce - precos de contrato DRAM/NAND 4T26 (30/set/26)</t>
  </si>
  <si>
    <t xml:space="preserve">https://www.trendforce.com/presscenter/news/20260930-13258.html</t>
  </si>
  <si>
    <t xml:space="preserve">- TrendForce - capex de CSPs e HBM (30/jul/26)</t>
  </si>
  <si>
    <t xml:space="preserve">https://www.trendforce.com/presscenter/news/20260730-13158.html</t>
  </si>
  <si>
    <t xml:space="preserve">- Counterpoint - ranking DRAM/HBM 2T CY26 (share de HBM da Micron 18-21%)</t>
  </si>
  <si>
    <t xml:space="preserve">https://counterpointresearch.com/en/insights/ai-demand-reshapes-dram-rankings-in-q2-2026</t>
  </si>
  <si>
    <t xml:space="preserve">- Consenso e preco-alvo sell-side (yahoo finance / stockanalysis, 06/out/26)</t>
  </si>
  <si>
    <t xml:space="preserve">https://finance.yahoo.com/quote/MU/analysis/</t>
  </si>
  <si>
    <t xml:space="preserve">- Peers: marketscreener, stockanalysis, investing.com, companiesmarketcap (06/out/26) - fonte por celula na aba Multiplos</t>
  </si>
  <si>
    <t xml:space="preserve">Pendencias (acao | data-alvo)</t>
  </si>
  <si>
    <t xml:space="preserve">- 10-K FY26 (esperado ate meados de out/26): refazer balanco de abertura, split DRAM/NAND, intangiveis/ROU/DTA, divida por instrumento e reestruturacao; conferir MB por tecnologia estimada (DRAM 81,5% / NAND 78,6%) | out/26</t>
  </si>
  <si>
    <t xml:space="preserve">- Resultado 1T27 + guia 2T27 (dez/26): checar se o custo por bit (+~19% t/t implicito) foi pontual (bonus em estoque) ou recorrente (start-ups); revisar D&amp;A FY27 (~12,5 bi inferido) e a trajetoria trimestral | dez/26</t>
  </si>
  <si>
    <t xml:space="preserve">- Capex FY27: substituir 52 bi pelo numero anual quando a gestao divulgar (so 1S ~25 bi e 2S 'maior'); separar obra civil x equipamento para a curva de D&amp;A | dez/26</t>
  </si>
  <si>
    <t xml:space="preserve">- Politica de capital: confirmar tamanho da nova autorizacao de recompra e o nivel-alvo de caixa apos 9-dez-26 (premissa atual 45-80 bi por ano, Premissas) | dez/26</t>
  </si>
  <si>
    <t xml:space="preserve">- SCAs: obter niveis de floor/teto e a curva de devolucao/consumo dos 12,9 bi de depositos (premissa 20/30/30/20% FY27-30); conferir 16 vs 26 acordos | 10-K / 10-Q</t>
  </si>
  <si>
    <t xml:space="preserve">- HBM: substituir o sub-bloco memo (TAM, share, gap de margem) por dado da empresa quando divulgado; acompanhar share (Counterpoint) e preco por stack | continuo</t>
  </si>
  <si>
    <t xml:space="preserve">- Ano normalizado: testar capex 20-21% da receita (capex/D&amp;A ~1,1-1,2x em regime nominal com g = 3%) na sensibilidade 2; hoje 24% (bits +15-20% a.a. e deflacao de ASP) | proxima revisao</t>
  </si>
  <si>
    <t xml:space="preserve">- WACC: atualizar rf/ERP mensalmente; obter spread live (TRACE) dos bonds 2033/2041; confirmar rating atual da Fitch e datas dos upgrades S&amp;P/Moody's | mensal</t>
  </si>
  <si>
    <t xml:space="preserve">- Consenso: acompanhar MB FY27 de consenso (indisponivel) e revisoes pos-10-K; validar EPS GAAP vs non-GAAP (SBC ~1,9-2,3 bi) | continuo</t>
  </si>
  <si>
    <t xml:space="preserve">Conflitos de fonte (fonte usada vs alternativa)</t>
  </si>
  <si>
    <t xml:space="preserve">- Split DRAM/NAND FY26A: soma dos trimestres dos 8-K/10-Q (100.712 / 31.743) vs deck 4T26 reproduzido por fonte secundaria (100.679 / 31.785); diferenca de 33 mn vai para 'outros'</t>
  </si>
  <si>
    <t xml:space="preserve">- Consenso EPS FY27E: 176,15 (stockanalysis) / 176,42 (yahoo) vs 173,9 (marketscreener, base GAAP) - usado stockanalysis/yahoo pos-4T26</t>
  </si>
  <si>
    <t xml:space="preserve">- Preco-alvo medio sell-side: 1.535,57 (stockanalysis / investing / yahoo) vs 1.520 (marketscreener), 1.548 (wallstreetzen), 1.386 (marketbeat); minimo de 361 nos agregadores e defasado</t>
  </si>
  <si>
    <t xml:space="preserve">- Acoes: 1.147 mn diluidas 4T26 (8-K) usadas em todo o modelo vs 1.129,4 mn basicas (agregador) e 1.127,7 mn (cover do 10-Q de mar/26); guia 1T27 ~1.150 mn</t>
  </si>
  <si>
    <t xml:space="preserve">- Depositos SCA 28/ago/25: 142 (8-K 4T26, coluna comparativa) vs linha nao aberta no 10-K FY25 / 10-Q mai/26 (agrupada em outros passivos nao-circulantes) - reclassificado</t>
  </si>
  <si>
    <t xml:space="preserve">- 2033 B Notes: 892 em ago/25 (tabela do 10-Q) vs 750 mn de principal antes do tender (release de expiracao) - usado o valor contabil do 10-Q de mai/26 (213) com rateio</t>
  </si>
  <si>
    <t xml:space="preserve">- Moody's: Baa2 (upgrade 08/jan/26, confirmado) vs Baa1 (artigo de ~ago/26, nao corroborado); S&amp;P BBB positivo (mai/26) vs relato nao verificado de BBB+ (ago/26)</t>
  </si>
  <si>
    <t xml:space="preserve">- MB 2T26: 74,4% GAAP / 74,9% non-GAAP (8-K) vs '75%' em resumos da call - usado 8-K; EPS GAAP 3T26: 24,67 (8-K) vs 24,46 (CNBC) - usado 8-K</t>
  </si>
  <si>
    <t xml:space="preserve">- Share de HBM: 'em linha com o share de DRAM' (~22-23%, empresa) vs 18-21% (Counterpoint, 1S CY26) - premissa 19-20%; numero de SCAs: 16 (slides 3T26) vs 26 (relatos pos-4T26)</t>
  </si>
  <si>
    <t xml:space="preserve">- Beta: 2,23 (Yahoo 5a mensal) vs 1,63-2,33 por metodo/janela - Base usa 1,82 (Blume); ERP 4,20% vs 4,42% com spread soberano (Damodaran)</t>
  </si>
  <si>
    <t xml:space="preserve">- WDC: EV de 24/ago/26 (165,1 bi) incompativel com o preco de 06/out (411,04) - EV e EV/EBITDA marcados n.d. na aba Multiplos</t>
  </si>
  <si>
    <t xml:space="preserve">Convencoes</t>
  </si>
  <si>
    <t xml:space="preserve">- Ano fiscal de 52/53 semanas terminando na quinta-feira mais proxima de 31/ago; FY26 teve 53 semanas (4T26 com 14) - base inflada ~2% para as comparacoes a/a do FY27; FY26A nao auditado (8-K) ate o 10-K</t>
  </si>
  <si>
    <t xml:space="preserve">- Capex liquido = 'investments in capital expenditures, net' da Micron (gastos com PP&amp;E - incentivos governamentais - vendas de PP&amp;E); FCF = FCO - capex liquido (igual ao FCF ajustado da empresa)</t>
  </si>
  <si>
    <t xml:space="preserve">- Depositos de clientes sob SCAs: recebidos em financiamento (como a empresa); consumidos contra compras futuras em FY27-30 (Suporte f); deduzidos integralmente na ponte EV -&gt; equity e somados ao EV dos multiplos</t>
  </si>
  <si>
    <t xml:space="preserve">- DSO/DIO/DPO em base anual (saldo / fluxo anual x 365); nao coincidem com os dias trimestrais divulgados pela empresa</t>
  </si>
  <si>
    <t xml:space="preserve">- Preco-alvo 12m = valor justo hoje x (1 + Ke) - DPS FY27E; stub: FY27 descontado a (02/set/27 - 07/out/26)/365 - 0,5 = ~0,40 ano</t>
  </si>
</sst>
</file>

<file path=xl/styles.xml><?xml version="1.0" encoding="utf-8"?>
<styleSheet xmlns="http://schemas.openxmlformats.org/spreadsheetml/2006/main">
  <numFmts count="19">
    <numFmt numFmtId="164" formatCode="General"/>
    <numFmt numFmtId="165" formatCode="#,##0.00"/>
    <numFmt numFmtId="166" formatCode="0.0%;\(0.0%\);0.0%"/>
    <numFmt numFmtId="167" formatCode="dd/mmm/yy"/>
    <numFmt numFmtId="168" formatCode="0.0%;\(0.0%\);\-"/>
    <numFmt numFmtId="169" formatCode="#,##0.0;\(#,##0.0\);\-"/>
    <numFmt numFmtId="170" formatCode="#,##0;\(#,##0\);\-"/>
    <numFmt numFmtId="171" formatCode="0.00;\(0.00\);\-"/>
    <numFmt numFmtId="172" formatCode="0.0\x"/>
    <numFmt numFmtId="173" formatCode="0.00%;\(0.00%\);\-"/>
    <numFmt numFmtId="174" formatCode="0.00\x"/>
    <numFmt numFmtId="175" formatCode="0.00%;\(0.00%\);0.00%"/>
    <numFmt numFmtId="176" formatCode="#,##0;\(#,##0\);0"/>
    <numFmt numFmtId="177" formatCode="0;\(0\);0"/>
    <numFmt numFmtId="178" formatCode="0;\(0\);\-"/>
    <numFmt numFmtId="179" formatCode="0.00"/>
    <numFmt numFmtId="180" formatCode="0"/>
    <numFmt numFmtId="181" formatCode="0.0"/>
    <numFmt numFmtId="182" formatCode="0.000"/>
  </numFmts>
  <fonts count="14">
    <font>
      <sz val="9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008000"/>
      <name val="Arial"/>
      <family val="0"/>
      <charset val="1"/>
    </font>
    <font>
      <sz val="10"/>
      <name val="Arial"/>
      <family val="2"/>
    </font>
    <font>
      <b val="true"/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F2F2F2"/>
      </patternFill>
    </fill>
    <fill>
      <patternFill patternType="solid">
        <fgColor rgb="FFF2F2F2"/>
        <bgColor rgb="FFDCE6F1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1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2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2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80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2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1" min="4" style="1" width="11"/>
    <col collapsed="false" customWidth="true" hidden="false" outlineLevel="0" max="12" min="12" style="1" width="12"/>
  </cols>
  <sheetData>
    <row r="1" customFormat="false" ht="15" hidden="false" customHeight="false" outlineLevel="0" collapsed="false">
      <c r="B1" s="2" t="s">
        <v>0</v>
      </c>
    </row>
    <row r="2" customFormat="false" ht="15" hidden="false" customHeight="false" outlineLevel="0" collapsed="false">
      <c r="B2" s="3" t="s">
        <v>1</v>
      </c>
    </row>
    <row r="4" customFormat="false" ht="15" hidden="false" customHeight="false" outlineLevel="0" collapsed="false">
      <c r="B4" s="4" t="s">
        <v>2</v>
      </c>
      <c r="G4" s="5" t="s">
        <v>3</v>
      </c>
    </row>
    <row r="5" customFormat="false" ht="15" hidden="false" customHeight="false" outlineLevel="0" collapsed="false">
      <c r="B5" s="6" t="s">
        <v>4</v>
      </c>
      <c r="D5" s="7" t="n">
        <f aca="false">Premissas!$I$224</f>
        <v>1045.56</v>
      </c>
      <c r="G5" s="6" t="s">
        <v>5</v>
      </c>
      <c r="I5" s="8" t="n">
        <v>0.5</v>
      </c>
    </row>
    <row r="6" customFormat="false" ht="15" hidden="false" customHeight="false" outlineLevel="0" collapsed="false">
      <c r="B6" s="6" t="s">
        <v>6</v>
      </c>
      <c r="D6" s="9" t="n">
        <f aca="false">Premissas!$I$225</f>
        <v>46301</v>
      </c>
      <c r="G6" s="6" t="s">
        <v>7</v>
      </c>
      <c r="I6" s="8" t="n">
        <v>0.25</v>
      </c>
    </row>
    <row r="7" customFormat="false" ht="15" hidden="false" customHeight="false" outlineLevel="0" collapsed="false">
      <c r="B7" s="5" t="s">
        <v>8</v>
      </c>
      <c r="D7" s="10" t="n">
        <f aca="false">DCF!I36</f>
        <v>983.382500322673</v>
      </c>
      <c r="G7" s="6" t="s">
        <v>9</v>
      </c>
      <c r="I7" s="8" t="n">
        <v>0.25</v>
      </c>
    </row>
    <row r="8" customFormat="false" ht="15" hidden="false" customHeight="false" outlineLevel="0" collapsed="false">
      <c r="B8" s="5" t="s">
        <v>10</v>
      </c>
      <c r="D8" s="11" t="n">
        <f aca="false">DCF!I38</f>
        <v>-0.0594681316015597</v>
      </c>
      <c r="G8" s="6" t="s">
        <v>11</v>
      </c>
      <c r="I8" s="8" t="n">
        <v>0.15</v>
      </c>
    </row>
    <row r="9" customFormat="false" ht="15" hidden="false" customHeight="false" outlineLevel="0" collapsed="false">
      <c r="B9" s="5" t="s">
        <v>12</v>
      </c>
      <c r="D9" s="12" t="str">
        <f aca="false">IF(D11&gt;=$I$8,"Compra",IF(D11&lt;=$I$9,"Venda","Neutro"))</f>
        <v>Neutro</v>
      </c>
      <c r="G9" s="6" t="s">
        <v>13</v>
      </c>
      <c r="I9" s="8" t="n">
        <v>-0.15</v>
      </c>
    </row>
    <row r="10" customFormat="false" ht="15" hidden="false" customHeight="false" outlineLevel="0" collapsed="false">
      <c r="B10" s="5" t="s">
        <v>14</v>
      </c>
      <c r="D10" s="13" t="n">
        <f aca="false">SUMPRODUCT($I$5:$I$7,$D$50:$D$52)</f>
        <v>996.88126648197</v>
      </c>
      <c r="G10" s="3" t="s">
        <v>15</v>
      </c>
      <c r="I10" s="14" t="n">
        <f aca="false">SUM(I5:I7)</f>
        <v>1</v>
      </c>
    </row>
    <row r="11" customFormat="false" ht="15" hidden="false" customHeight="false" outlineLevel="0" collapsed="false">
      <c r="B11" s="6" t="s">
        <v>16</v>
      </c>
      <c r="D11" s="15" t="n">
        <f aca="false">D10/D5-1</f>
        <v>-0.0465575706014286</v>
      </c>
    </row>
    <row r="12" customFormat="false" ht="15" hidden="false" customHeight="false" outlineLevel="0" collapsed="false">
      <c r="B12" s="6" t="s">
        <v>17</v>
      </c>
      <c r="D12" s="7" t="n">
        <f aca="false">Premissas!$I$232</f>
        <v>1535.57</v>
      </c>
    </row>
    <row r="13" customFormat="false" ht="15" hidden="false" customHeight="false" outlineLevel="0" collapsed="false">
      <c r="B13" s="6" t="s">
        <v>18</v>
      </c>
      <c r="D13" s="15" t="n">
        <f aca="false">D10/D12-1</f>
        <v>-0.350807018578137</v>
      </c>
    </row>
    <row r="14" customFormat="false" ht="15" hidden="false" customHeight="false" outlineLevel="0" collapsed="false">
      <c r="B14" s="6" t="s">
        <v>19</v>
      </c>
      <c r="D14" s="16" t="n">
        <f aca="false">Multiplos!$D$8/1000</f>
        <v>1199.25732</v>
      </c>
    </row>
    <row r="15" customFormat="false" ht="15" hidden="false" customHeight="false" outlineLevel="0" collapsed="false">
      <c r="B15" s="6" t="s">
        <v>20</v>
      </c>
      <c r="D15" s="16" t="n">
        <f aca="false">Multiplos!$D$12/1000</f>
        <v>1143.87832</v>
      </c>
    </row>
    <row r="16" customFormat="false" ht="15" hidden="false" customHeight="false" outlineLevel="0" collapsed="false">
      <c r="B16" s="6" t="s">
        <v>21</v>
      </c>
      <c r="D16" s="16" t="n">
        <f aca="false">Multiplos!$D$13/1000</f>
        <v>68.274</v>
      </c>
    </row>
    <row r="17" customFormat="false" ht="15" hidden="false" customHeight="false" outlineLevel="0" collapsed="false">
      <c r="B17" s="6" t="s">
        <v>22</v>
      </c>
      <c r="D17" s="7" t="n">
        <f aca="false">Multiplos!$D$14</f>
        <v>59.5239755884917</v>
      </c>
    </row>
    <row r="18" customFormat="false" ht="15" hidden="false" customHeight="false" outlineLevel="0" collapsed="false">
      <c r="B18" s="6" t="s">
        <v>23</v>
      </c>
      <c r="D18" s="17" t="str">
        <f aca="false">Premissas!$E$4</f>
        <v>Base</v>
      </c>
    </row>
    <row r="19" customFormat="false" ht="15" hidden="false" customHeight="false" outlineLevel="0" collapsed="false">
      <c r="B19" s="6" t="s">
        <v>24</v>
      </c>
      <c r="D19" s="18" t="s">
        <v>25</v>
      </c>
      <c r="E19" s="19" t="n">
        <v>46302</v>
      </c>
    </row>
    <row r="20" customFormat="false" ht="15" hidden="false" customHeight="false" outlineLevel="0" collapsed="false">
      <c r="B20" s="6" t="s">
        <v>26</v>
      </c>
      <c r="D20" s="5" t="str">
        <f aca="false">IF(AND(BP!$D$31="ok",FC!$D$41="ok",Operacional!$D$65="ok",DCF!D71="ok",DCF!D81="ok",Trimestral!D61="ok",ABS($I$10-1)&lt;0.001),"Checks: ok","Checks: ERRO")</f>
        <v>Checks: ok</v>
      </c>
    </row>
    <row r="23" customFormat="false" ht="15" hidden="false" customHeight="false" outlineLevel="0" collapsed="false">
      <c r="B23" s="20" t="s">
        <v>27</v>
      </c>
      <c r="C23" s="21"/>
      <c r="D23" s="22" t="s">
        <v>28</v>
      </c>
      <c r="E23" s="22" t="s">
        <v>29</v>
      </c>
      <c r="F23" s="22" t="s">
        <v>30</v>
      </c>
      <c r="G23" s="22" t="s">
        <v>31</v>
      </c>
      <c r="H23" s="22" t="s">
        <v>32</v>
      </c>
      <c r="I23" s="22" t="s">
        <v>33</v>
      </c>
      <c r="J23" s="22" t="s">
        <v>34</v>
      </c>
      <c r="K23" s="22" t="s">
        <v>35</v>
      </c>
      <c r="L23" s="22" t="s">
        <v>36</v>
      </c>
    </row>
    <row r="24" customFormat="false" ht="15" hidden="false" customHeight="false" outlineLevel="0" collapsed="false">
      <c r="B24" s="5" t="s">
        <v>37</v>
      </c>
      <c r="D24" s="23" t="n">
        <f aca="false">DRE!F5</f>
        <v>25111</v>
      </c>
      <c r="E24" s="23" t="n">
        <f aca="false">DRE!G5</f>
        <v>37378</v>
      </c>
      <c r="F24" s="23" t="n">
        <f aca="false">DRE!H5</f>
        <v>133188</v>
      </c>
      <c r="G24" s="23" t="n">
        <f aca="false">DRE!I5</f>
        <v>272833.3148</v>
      </c>
      <c r="H24" s="23" t="n">
        <f aca="false">DRE!J5</f>
        <v>300526.6270496</v>
      </c>
      <c r="I24" s="23" t="n">
        <f aca="false">DRE!K5</f>
        <v>213423.92749496</v>
      </c>
      <c r="J24" s="23" t="n">
        <f aca="false">DRE!L5</f>
        <v>166708.59391384</v>
      </c>
      <c r="K24" s="23" t="n">
        <f aca="false">DRE!M5</f>
        <v>206885.777928251</v>
      </c>
      <c r="L24" s="23" t="n">
        <f aca="false">DCF!$N$6</f>
        <v>196541.489031839</v>
      </c>
    </row>
    <row r="25" customFormat="false" ht="15" hidden="false" customHeight="false" outlineLevel="0" collapsed="false">
      <c r="B25" s="3" t="s">
        <v>38</v>
      </c>
      <c r="D25" s="14" t="n">
        <f aca="false">DRE!F6</f>
        <v>0.615894465894466</v>
      </c>
      <c r="E25" s="14" t="n">
        <f aca="false">DRE!G6</f>
        <v>0.488511011110669</v>
      </c>
      <c r="F25" s="14" t="n">
        <f aca="false">DRE!H6</f>
        <v>2.56327251324308</v>
      </c>
      <c r="G25" s="14" t="n">
        <f aca="false">DRE!I6</f>
        <v>1.04848270715079</v>
      </c>
      <c r="H25" s="14" t="n">
        <f aca="false">DRE!J6</f>
        <v>0.101502678548991</v>
      </c>
      <c r="I25" s="14" t="n">
        <f aca="false">DRE!K6</f>
        <v>-0.289833551222282</v>
      </c>
      <c r="J25" s="14" t="n">
        <f aca="false">DRE!L6</f>
        <v>-0.218885174354328</v>
      </c>
      <c r="K25" s="14" t="n">
        <f aca="false">DRE!M6</f>
        <v>0.241002476664017</v>
      </c>
    </row>
    <row r="26" customFormat="false" ht="15" hidden="false" customHeight="false" outlineLevel="0" collapsed="false">
      <c r="B26" s="6" t="s">
        <v>39</v>
      </c>
      <c r="D26" s="24" t="n">
        <f aca="false">DRE!F9</f>
        <v>0.223527537732468</v>
      </c>
      <c r="E26" s="24" t="n">
        <f aca="false">DRE!G9</f>
        <v>0.397907860238643</v>
      </c>
      <c r="F26" s="24" t="n">
        <f aca="false">DRE!H9</f>
        <v>0.807159804186563</v>
      </c>
      <c r="G26" s="24" t="n">
        <f aca="false">DRE!I9</f>
        <v>0.868059423965918</v>
      </c>
      <c r="H26" s="24" t="n">
        <f aca="false">DRE!J9</f>
        <v>0.861683177531501</v>
      </c>
      <c r="I26" s="24" t="n">
        <f aca="false">DRE!K9</f>
        <v>0.769645929688608</v>
      </c>
      <c r="J26" s="24" t="n">
        <f aca="false">DRE!L9</f>
        <v>0.683064294352521</v>
      </c>
      <c r="K26" s="24" t="n">
        <f aca="false">DRE!M9</f>
        <v>0.728628795051084</v>
      </c>
      <c r="L26" s="24" t="n">
        <f aca="false">DCF!$N$7</f>
        <v>0.62</v>
      </c>
    </row>
    <row r="27" customFormat="false" ht="15" hidden="false" customHeight="false" outlineLevel="0" collapsed="false">
      <c r="B27" s="6" t="s">
        <v>40</v>
      </c>
      <c r="D27" s="25" t="n">
        <f aca="false">DRE!F16</f>
        <v>9084</v>
      </c>
      <c r="E27" s="25" t="n">
        <f aca="false">DRE!G16</f>
        <v>18122</v>
      </c>
      <c r="F27" s="25" t="n">
        <f aca="false">DRE!H16</f>
        <v>108843</v>
      </c>
      <c r="G27" s="25" t="n">
        <f aca="false">DRE!I16</f>
        <v>239415.850084</v>
      </c>
      <c r="H27" s="25" t="n">
        <f aca="false">DRE!J16</f>
        <v>264846.669878924</v>
      </c>
      <c r="I27" s="25" t="n">
        <f aca="false">DRE!K16</f>
        <v>175973.378717653</v>
      </c>
      <c r="J27" s="25" t="n">
        <f aca="false">DRE!L16</f>
        <v>129875.571641848</v>
      </c>
      <c r="K27" s="25" t="n">
        <f aca="false">DRE!M16</f>
        <v>168238.345001409</v>
      </c>
    </row>
    <row r="28" customFormat="false" ht="15" hidden="false" customHeight="false" outlineLevel="0" collapsed="false">
      <c r="B28" s="3" t="s">
        <v>41</v>
      </c>
      <c r="D28" s="14" t="n">
        <f aca="false">DRE!F17</f>
        <v>0.361753813069969</v>
      </c>
      <c r="E28" s="14" t="n">
        <f aca="false">DRE!G17</f>
        <v>0.484830649044893</v>
      </c>
      <c r="F28" s="14" t="n">
        <f aca="false">DRE!H17</f>
        <v>0.817213262456077</v>
      </c>
      <c r="G28" s="14" t="n">
        <f aca="false">DRE!I17</f>
        <v>0.877516920026806</v>
      </c>
      <c r="H28" s="14" t="n">
        <f aca="false">DRE!J17</f>
        <v>0.881275221696786</v>
      </c>
      <c r="I28" s="14" t="n">
        <f aca="false">DRE!K17</f>
        <v>0.824525069813497</v>
      </c>
      <c r="J28" s="14" t="n">
        <f aca="false">DRE!L17</f>
        <v>0.779057447446121</v>
      </c>
      <c r="K28" s="14" t="n">
        <f aca="false">DRE!M17</f>
        <v>0.813194346591358</v>
      </c>
    </row>
    <row r="29" customFormat="false" ht="15" hidden="false" customHeight="false" outlineLevel="0" collapsed="false">
      <c r="B29" s="6" t="s">
        <v>42</v>
      </c>
      <c r="D29" s="25" t="n">
        <f aca="false">DRE!F13</f>
        <v>1304</v>
      </c>
      <c r="E29" s="25" t="n">
        <f aca="false">DRE!G13</f>
        <v>9770</v>
      </c>
      <c r="F29" s="25" t="n">
        <f aca="false">DRE!H13</f>
        <v>99340</v>
      </c>
      <c r="G29" s="25" t="n">
        <f aca="false">DRE!I13</f>
        <v>226943.780084</v>
      </c>
      <c r="H29" s="25" t="n">
        <f aca="false">DRE!J13</f>
        <v>247878.411428924</v>
      </c>
      <c r="I29" s="25" t="n">
        <f aca="false">DRE!K13</f>
        <v>152954.231269653</v>
      </c>
      <c r="J29" s="25" t="n">
        <f aca="false">DRE!L13</f>
        <v>102870.982544508</v>
      </c>
      <c r="K29" s="25" t="n">
        <f aca="false">DRE!M13</f>
        <v>139106.07670057</v>
      </c>
      <c r="L29" s="25" t="n">
        <f aca="false">DCF!$N$10</f>
        <v>107704.735989448</v>
      </c>
    </row>
    <row r="30" customFormat="false" ht="15" hidden="false" customHeight="false" outlineLevel="0" collapsed="false">
      <c r="B30" s="6" t="s">
        <v>43</v>
      </c>
      <c r="D30" s="25" t="n">
        <f aca="false">DRE!F26</f>
        <v>778</v>
      </c>
      <c r="E30" s="25" t="n">
        <f aca="false">DRE!G26</f>
        <v>8539</v>
      </c>
      <c r="F30" s="25" t="n">
        <f aca="false">DRE!H26</f>
        <v>84969</v>
      </c>
      <c r="G30" s="25" t="n">
        <f aca="false">DRE!I26</f>
        <v>194248.98370098</v>
      </c>
      <c r="H30" s="25" t="n">
        <f aca="false">DRE!J26</f>
        <v>211307.567613154</v>
      </c>
      <c r="I30" s="25" t="n">
        <f aca="false">DRE!K26</f>
        <v>131475.812329205</v>
      </c>
      <c r="J30" s="25" t="n">
        <f aca="false">DRE!L26</f>
        <v>87121.1257496644</v>
      </c>
      <c r="K30" s="25" t="n">
        <f aca="false">DRE!M26</f>
        <v>118805.065784835</v>
      </c>
    </row>
    <row r="31" customFormat="false" ht="15" hidden="false" customHeight="false" outlineLevel="0" collapsed="false">
      <c r="B31" s="5" t="s">
        <v>44</v>
      </c>
      <c r="D31" s="26" t="n">
        <f aca="false">DRE!F39</f>
        <v>1.3</v>
      </c>
      <c r="E31" s="26" t="n">
        <f aca="false">DRE!G39</f>
        <v>8.29</v>
      </c>
      <c r="F31" s="26" t="n">
        <f aca="false">DRE!H39</f>
        <v>75.52</v>
      </c>
      <c r="G31" s="26" t="n">
        <f aca="false">DRE!I39</f>
        <v>179.69160007275</v>
      </c>
      <c r="H31" s="26" t="n">
        <f aca="false">DRE!J39</f>
        <v>224.017203971726</v>
      </c>
      <c r="I31" s="26" t="n">
        <f aca="false">DRE!K39</f>
        <v>165.389205661277</v>
      </c>
      <c r="J31" s="26" t="n">
        <f aca="false">DRE!L39</f>
        <v>128.404368448926</v>
      </c>
      <c r="K31" s="26" t="n">
        <f aca="false">DRE!M39</f>
        <v>206.28913290867</v>
      </c>
    </row>
    <row r="32" customFormat="false" ht="15" hidden="false" customHeight="false" outlineLevel="0" collapsed="false">
      <c r="B32" s="3" t="s">
        <v>45</v>
      </c>
      <c r="D32" s="14" t="str">
        <f aca="false">DRE!F40</f>
        <v>n.m.</v>
      </c>
      <c r="E32" s="14" t="str">
        <f aca="false">DRE!G40</f>
        <v>n.m.</v>
      </c>
      <c r="F32" s="14" t="str">
        <f aca="false">DRE!H40</f>
        <v>n.m.</v>
      </c>
      <c r="G32" s="14" t="n">
        <f aca="false">DRE!I40</f>
        <v>1.37939089079384</v>
      </c>
      <c r="H32" s="14" t="n">
        <f aca="false">DRE!J40</f>
        <v>0.246675993096114</v>
      </c>
      <c r="I32" s="14" t="n">
        <f aca="false">DRE!K40</f>
        <v>-0.261712034928572</v>
      </c>
      <c r="J32" s="14" t="n">
        <f aca="false">DRE!L40</f>
        <v>-0.223623041567156</v>
      </c>
      <c r="K32" s="14" t="n">
        <f aca="false">DRE!M40</f>
        <v>0.606558526010921</v>
      </c>
    </row>
    <row r="33" customFormat="false" ht="15" hidden="false" customHeight="false" outlineLevel="0" collapsed="false">
      <c r="B33" s="3" t="s">
        <v>46</v>
      </c>
      <c r="G33" s="27" t="n">
        <f aca="false">Premissas!$I$229</f>
        <v>176.15</v>
      </c>
      <c r="H33" s="27" t="n">
        <f aca="false">Premissas!$I$231</f>
        <v>206.33</v>
      </c>
    </row>
    <row r="34" customFormat="false" ht="15" hidden="false" customHeight="false" outlineLevel="0" collapsed="false">
      <c r="B34" s="3" t="s">
        <v>47</v>
      </c>
      <c r="G34" s="14" t="n">
        <f aca="false">G31/G33-1</f>
        <v>0.0201055922381519</v>
      </c>
      <c r="H34" s="14" t="n">
        <f aca="false">H31/H33-1</f>
        <v>0.0857228903781608</v>
      </c>
    </row>
    <row r="35" customFormat="false" ht="15" hidden="false" customHeight="false" outlineLevel="0" collapsed="false">
      <c r="B35" s="3" t="s">
        <v>48</v>
      </c>
      <c r="G35" s="28" t="n">
        <f aca="false">Premissas!$I$228</f>
        <v>275010</v>
      </c>
      <c r="H35" s="28" t="n">
        <f aca="false">Premissas!$I$230</f>
        <v>314640</v>
      </c>
    </row>
    <row r="36" customFormat="false" ht="15" hidden="false" customHeight="false" outlineLevel="0" collapsed="false">
      <c r="B36" s="3" t="s">
        <v>47</v>
      </c>
      <c r="G36" s="14" t="n">
        <f aca="false">G24/G35-1</f>
        <v>-0.00791493109341479</v>
      </c>
      <c r="H36" s="14" t="n">
        <f aca="false">H24/H35-1</f>
        <v>-0.0448556221408594</v>
      </c>
    </row>
    <row r="37" customFormat="false" ht="15" hidden="false" customHeight="false" outlineLevel="0" collapsed="false">
      <c r="B37" s="6" t="s">
        <v>49</v>
      </c>
      <c r="D37" s="25" t="n">
        <f aca="false">FC!F23</f>
        <v>387</v>
      </c>
      <c r="E37" s="25" t="n">
        <f aca="false">FC!G23</f>
        <v>3725</v>
      </c>
      <c r="F37" s="25" t="n">
        <f aca="false">FC!H23</f>
        <v>62305</v>
      </c>
      <c r="G37" s="25" t="n">
        <f aca="false">FC!I23</f>
        <v>142694.533366823</v>
      </c>
      <c r="H37" s="25" t="n">
        <f aca="false">FC!J23</f>
        <v>171740.876398046</v>
      </c>
      <c r="I37" s="25" t="n">
        <f aca="false">FC!K23</f>
        <v>125048.682306249</v>
      </c>
      <c r="J37" s="25" t="n">
        <f aca="false">FC!L23</f>
        <v>90391.9667900994</v>
      </c>
      <c r="K37" s="25" t="n">
        <f aca="false">FC!M23</f>
        <v>110939.704494449</v>
      </c>
    </row>
    <row r="38" customFormat="false" ht="15" hidden="false" customHeight="false" outlineLevel="0" collapsed="false">
      <c r="B38" s="6" t="s">
        <v>50</v>
      </c>
      <c r="G38" s="25" t="n">
        <f aca="false">DCF!I17</f>
        <v>138221.360638783</v>
      </c>
      <c r="H38" s="25" t="n">
        <f aca="false">DCF!J17</f>
        <v>166862.928842469</v>
      </c>
      <c r="I38" s="25" t="n">
        <f aca="false">DCF!K17</f>
        <v>121086.906604558</v>
      </c>
      <c r="J38" s="25" t="n">
        <f aca="false">DCF!L17</f>
        <v>86617.4699782177</v>
      </c>
      <c r="K38" s="25" t="n">
        <f aca="false">DCF!M17</f>
        <v>106927.69267515</v>
      </c>
      <c r="L38" s="25" t="n">
        <f aca="false">DCF!$N$17</f>
        <v>75385.4535330521</v>
      </c>
    </row>
    <row r="39" customFormat="false" ht="15" hidden="false" customHeight="false" outlineLevel="0" collapsed="false">
      <c r="B39" s="6" t="s">
        <v>51</v>
      </c>
      <c r="D39" s="25" t="n">
        <f aca="false">-FC!F28</f>
        <v>300</v>
      </c>
      <c r="E39" s="25" t="n">
        <f aca="false">-FC!G28</f>
        <v>-0</v>
      </c>
      <c r="F39" s="25" t="n">
        <f aca="false">-FC!H28</f>
        <v>650</v>
      </c>
      <c r="G39" s="25" t="n">
        <f aca="false">-FC!I28</f>
        <v>132266.092166823</v>
      </c>
      <c r="H39" s="25" t="n">
        <f aca="false">-FC!J28</f>
        <v>196439.426254703</v>
      </c>
      <c r="I39" s="25" t="n">
        <f aca="false">-FC!K28</f>
        <v>124753.754843799</v>
      </c>
      <c r="J39" s="25" t="n">
        <f aca="false">-FC!L28</f>
        <v>86471.2891596461</v>
      </c>
      <c r="K39" s="25" t="n">
        <f aca="false">-FC!M28</f>
        <v>109522.903487689</v>
      </c>
    </row>
    <row r="40" customFormat="false" ht="15" hidden="false" customHeight="false" outlineLevel="0" collapsed="false">
      <c r="B40" s="6" t="s">
        <v>52</v>
      </c>
      <c r="C40" s="3" t="s">
        <v>53</v>
      </c>
      <c r="D40" s="25" t="n">
        <f aca="false">DRE!F30</f>
        <v>1118</v>
      </c>
      <c r="E40" s="25" t="n">
        <f aca="false">DRE!G30</f>
        <v>1125</v>
      </c>
      <c r="F40" s="25" t="n">
        <f aca="false">Suporte!H53</f>
        <v>1147</v>
      </c>
      <c r="G40" s="25" t="n">
        <f aca="false">Suporte!I53</f>
        <v>1033.75809803016</v>
      </c>
      <c r="H40" s="25" t="n">
        <f aca="false">Suporte!J53</f>
        <v>869.941205634767</v>
      </c>
      <c r="I40" s="25" t="n">
        <f aca="false">Suporte!K53</f>
        <v>745.621463693926</v>
      </c>
      <c r="J40" s="25" t="n">
        <f aca="false">Suporte!L53</f>
        <v>644.532352244369</v>
      </c>
      <c r="K40" s="25" t="n">
        <f aca="false">Suporte!M53</f>
        <v>529.840237258048</v>
      </c>
    </row>
    <row r="41" customFormat="false" ht="15" hidden="false" customHeight="false" outlineLevel="0" collapsed="false">
      <c r="B41" s="6" t="s">
        <v>54</v>
      </c>
      <c r="D41" s="25" t="n">
        <f aca="false">BP!F33</f>
        <v>-4245</v>
      </c>
      <c r="E41" s="25" t="n">
        <f aca="false">BP!G33</f>
        <v>-2641</v>
      </c>
      <c r="F41" s="25" t="n">
        <f aca="false">BP!H33</f>
        <v>68274</v>
      </c>
      <c r="G41" s="25" t="n">
        <f aca="false">BP!I33</f>
        <v>75321</v>
      </c>
      <c r="H41" s="25" t="n">
        <f aca="false">BP!J33</f>
        <v>45821</v>
      </c>
      <c r="I41" s="25" t="n">
        <f aca="false">BP!K33</f>
        <v>41321</v>
      </c>
      <c r="J41" s="25" t="n">
        <f aca="false">BP!L33</f>
        <v>41821</v>
      </c>
      <c r="K41" s="25" t="n">
        <f aca="false">BP!M33</f>
        <v>42473.857217756</v>
      </c>
    </row>
    <row r="42" customFormat="false" ht="15" hidden="false" customHeight="false" outlineLevel="0" collapsed="false">
      <c r="B42" s="6" t="s">
        <v>55</v>
      </c>
      <c r="D42" s="29" t="s">
        <v>56</v>
      </c>
      <c r="E42" s="29" t="s">
        <v>56</v>
      </c>
      <c r="F42" s="24" t="n">
        <f aca="false">FC!H43</f>
        <v>0.0519529870370105</v>
      </c>
      <c r="G42" s="24" t="n">
        <f aca="false">FC!I43</f>
        <v>0.118985751420573</v>
      </c>
      <c r="H42" s="24" t="n">
        <f aca="false">FC!J43</f>
        <v>0.143206027208611</v>
      </c>
      <c r="I42" s="24" t="n">
        <f aca="false">FC!K43</f>
        <v>0.104271769053075</v>
      </c>
      <c r="J42" s="24" t="n">
        <f aca="false">FC!L43</f>
        <v>0.0753732875193953</v>
      </c>
      <c r="K42" s="24" t="n">
        <f aca="false">FC!M43</f>
        <v>0.0925070063315926</v>
      </c>
    </row>
    <row r="43" customFormat="false" ht="15" hidden="false" customHeight="false" outlineLevel="0" collapsed="false">
      <c r="B43" s="6" t="s">
        <v>57</v>
      </c>
      <c r="D43" s="29" t="s">
        <v>56</v>
      </c>
      <c r="E43" s="29" t="s">
        <v>56</v>
      </c>
      <c r="F43" s="30" t="n">
        <f aca="false">IF(Multiplos!$D$12/DRE!H16&gt;100,"n.m.",Multiplos!$D$12/DRE!H16)</f>
        <v>10.5094339553302</v>
      </c>
      <c r="G43" s="30" t="n">
        <f aca="false">IF(Multiplos!$D$12/DRE!I16&gt;100,"n.m.",Multiplos!$D$12/DRE!I16)</f>
        <v>4.77778860338054</v>
      </c>
      <c r="H43" s="30" t="n">
        <f aca="false">IF(Multiplos!$D$12/DRE!J16&gt;100,"n.m.",Multiplos!$D$12/DRE!J16)</f>
        <v>4.31902096606664</v>
      </c>
      <c r="I43" s="30" t="n">
        <f aca="false">IF(Multiplos!$D$12/DRE!K16&gt;100,"n.m.",Multiplos!$D$12/DRE!K16)</f>
        <v>6.50029185286793</v>
      </c>
      <c r="J43" s="30" t="n">
        <f aca="false">IF(Multiplos!$D$12/DRE!L16&gt;100,"n.m.",Multiplos!$D$12/DRE!L16)</f>
        <v>8.8074940155368</v>
      </c>
      <c r="K43" s="30" t="n">
        <f aca="false">IF(Multiplos!$D$12/DRE!M16&gt;100,"n.m.",Multiplos!$D$12/DRE!M16)</f>
        <v>6.79915342718343</v>
      </c>
    </row>
    <row r="44" customFormat="false" ht="15" hidden="false" customHeight="false" outlineLevel="0" collapsed="false">
      <c r="B44" s="6" t="s">
        <v>58</v>
      </c>
      <c r="D44" s="29" t="s">
        <v>56</v>
      </c>
      <c r="E44" s="29" t="s">
        <v>56</v>
      </c>
      <c r="F44" s="30" t="n">
        <f aca="false">IF(Premissas!$I$224/DRE!H39&gt;100,"n.m.",Premissas!$I$224/DRE!H39)</f>
        <v>13.8448093220339</v>
      </c>
      <c r="G44" s="30" t="n">
        <f aca="false">IF(Premissas!$I$224/DRE!I39&gt;100,"n.m.",Premissas!$I$224/DRE!I39)</f>
        <v>5.81863592720356</v>
      </c>
      <c r="H44" s="30" t="n">
        <f aca="false">IF(Premissas!$I$224/DRE!J39&gt;100,"n.m.",Premissas!$I$224/DRE!J39)</f>
        <v>4.66732010516462</v>
      </c>
      <c r="I44" s="30" t="n">
        <f aca="false">IF(Premissas!$I$224/DRE!K39&gt;100,"n.m.",Premissas!$I$224/DRE!K39)</f>
        <v>6.32181523467346</v>
      </c>
      <c r="J44" s="30" t="n">
        <f aca="false">IF(Premissas!$I$224/DRE!L39&gt;100,"n.m.",Premissas!$I$224/DRE!L39)</f>
        <v>8.14271362127279</v>
      </c>
      <c r="K44" s="30" t="n">
        <f aca="false">IF(Premissas!$I$224/DRE!M39&gt;100,"n.m.",Premissas!$I$224/DRE!M39)</f>
        <v>5.06842015988743</v>
      </c>
    </row>
    <row r="45" customFormat="false" ht="15" hidden="false" customHeight="false" outlineLevel="0" collapsed="false">
      <c r="B45" s="6" t="s">
        <v>59</v>
      </c>
      <c r="D45" s="29" t="s">
        <v>56</v>
      </c>
      <c r="E45" s="29" t="s">
        <v>56</v>
      </c>
      <c r="F45" s="30" t="n">
        <f aca="false">Multiplos!$D$8/BP!H26</f>
        <v>8.66653167411005</v>
      </c>
      <c r="G45" s="30" t="n">
        <f aca="false">Multiplos!$D$8/BP!I26</f>
        <v>5.9501688189575</v>
      </c>
      <c r="H45" s="30" t="n">
        <f aca="false">Multiplos!$D$8/BP!J26</f>
        <v>5.50700751065075</v>
      </c>
      <c r="I45" s="30" t="n">
        <f aca="false">Multiplos!$D$8/BP!K26</f>
        <v>5.30499256553862</v>
      </c>
      <c r="J45" s="30" t="n">
        <f aca="false">Multiplos!$D$8/BP!L26</f>
        <v>5.25021026081226</v>
      </c>
      <c r="K45" s="30" t="n">
        <f aca="false">Multiplos!$D$8/BP!M26</f>
        <v>5.00335530680186</v>
      </c>
    </row>
    <row r="46" customFormat="false" ht="15" hidden="false" customHeight="false" outlineLevel="0" collapsed="false">
      <c r="B46" s="6" t="s">
        <v>60</v>
      </c>
      <c r="D46" s="29" t="s">
        <v>56</v>
      </c>
      <c r="E46" s="29" t="s">
        <v>56</v>
      </c>
      <c r="F46" s="31" t="n">
        <f aca="false">DRE!H42/Premissas!$I$224</f>
        <v>0.000506905390412793</v>
      </c>
      <c r="G46" s="31" t="n">
        <f aca="false">DRE!I42/Premissas!$I$224</f>
        <v>0.000669115115344887</v>
      </c>
      <c r="H46" s="31" t="n">
        <f aca="false">DRE!J42/Premissas!$I$224</f>
        <v>0.000863158498794904</v>
      </c>
      <c r="I46" s="31" t="n">
        <f aca="false">DRE!K42/Premissas!$I$224</f>
        <v>0.00101852702857799</v>
      </c>
      <c r="J46" s="31" t="n">
        <f aca="false">DRE!L42/Premissas!$I$224</f>
        <v>0.00107963865029267</v>
      </c>
      <c r="K46" s="31" t="n">
        <f aca="false">DRE!M42/Premissas!$I$224</f>
        <v>0.0011336205828073</v>
      </c>
    </row>
    <row r="48" customFormat="false" ht="15" hidden="false" customHeight="false" outlineLevel="0" collapsed="false">
      <c r="B48" s="4" t="s">
        <v>61</v>
      </c>
    </row>
    <row r="49" customFormat="false" ht="15" hidden="false" customHeight="false" outlineLevel="0" collapsed="false">
      <c r="B49" s="32" t="s">
        <v>62</v>
      </c>
      <c r="C49" s="22" t="s">
        <v>63</v>
      </c>
      <c r="D49" s="22" t="s">
        <v>64</v>
      </c>
      <c r="E49" s="22" t="s">
        <v>65</v>
      </c>
      <c r="F49" s="22" t="s">
        <v>66</v>
      </c>
      <c r="G49" s="22" t="s">
        <v>67</v>
      </c>
      <c r="H49" s="22" t="s">
        <v>68</v>
      </c>
      <c r="I49" s="22" t="s">
        <v>69</v>
      </c>
      <c r="J49" s="22" t="s">
        <v>70</v>
      </c>
    </row>
    <row r="50" customFormat="false" ht="15" hidden="false" customHeight="false" outlineLevel="0" collapsed="false">
      <c r="B50" s="5" t="s">
        <v>71</v>
      </c>
      <c r="C50" s="14" t="n">
        <f aca="false">$I$5</f>
        <v>0.5</v>
      </c>
      <c r="D50" s="33" t="n">
        <v>983.382500322673</v>
      </c>
      <c r="E50" s="34" t="n">
        <v>-0.0594681316015597</v>
      </c>
      <c r="F50" s="35" t="n">
        <v>272833.3148</v>
      </c>
      <c r="G50" s="36" t="n">
        <v>179.69160007275</v>
      </c>
      <c r="H50" s="34" t="n">
        <v>0.868059423965918</v>
      </c>
      <c r="I50" s="36" t="n">
        <v>224.017203971726</v>
      </c>
      <c r="J50" s="36" t="n">
        <v>128.404368448926</v>
      </c>
    </row>
    <row r="51" customFormat="false" ht="15" hidden="false" customHeight="false" outlineLevel="0" collapsed="false">
      <c r="B51" s="6" t="s">
        <v>72</v>
      </c>
      <c r="C51" s="14" t="n">
        <f aca="false">$I$6</f>
        <v>0.25</v>
      </c>
      <c r="D51" s="33" t="n">
        <v>1583.30479605753</v>
      </c>
      <c r="E51" s="34" t="n">
        <v>0.514312709033944</v>
      </c>
      <c r="F51" s="35" t="n">
        <v>284735.335</v>
      </c>
      <c r="G51" s="36" t="n">
        <v>187.817123643485</v>
      </c>
      <c r="H51" s="34" t="n">
        <v>0.87449044935712</v>
      </c>
      <c r="I51" s="36" t="n">
        <v>270.362923376964</v>
      </c>
      <c r="J51" s="36" t="n">
        <v>279.064431451463</v>
      </c>
    </row>
    <row r="52" customFormat="false" ht="15" hidden="false" customHeight="false" outlineLevel="0" collapsed="false">
      <c r="B52" s="6" t="s">
        <v>73</v>
      </c>
      <c r="C52" s="14" t="n">
        <f aca="false">$I$7</f>
        <v>0.25</v>
      </c>
      <c r="D52" s="33" t="n">
        <v>437.455269225005</v>
      </c>
      <c r="E52" s="34" t="n">
        <v>-0.581606728236539</v>
      </c>
      <c r="F52" s="35" t="n">
        <v>244791.2904</v>
      </c>
      <c r="G52" s="36" t="n">
        <v>158.908796333471</v>
      </c>
      <c r="H52" s="34" t="n">
        <v>0.853051923419249</v>
      </c>
      <c r="I52" s="36" t="n">
        <v>108.469114186341</v>
      </c>
      <c r="J52" s="36" t="n">
        <v>38.1490171839848</v>
      </c>
    </row>
    <row r="53" customFormat="false" ht="15" hidden="false" customHeight="false" outlineLevel="0" collapsed="false">
      <c r="B53" s="3" t="s">
        <v>74</v>
      </c>
    </row>
    <row r="55" customFormat="false" ht="15" hidden="false" customHeight="false" outlineLevel="0" collapsed="false">
      <c r="B55" s="4" t="s">
        <v>75</v>
      </c>
    </row>
    <row r="56" customFormat="false" ht="15" hidden="false" customHeight="false" outlineLevel="0" collapsed="false">
      <c r="B56" s="3" t="s">
        <v>76</v>
      </c>
      <c r="C56" s="8" t="n">
        <v>0.2</v>
      </c>
    </row>
    <row r="57" customFormat="false" ht="15" hidden="false" customHeight="false" outlineLevel="0" collapsed="false">
      <c r="B57" s="5" t="s">
        <v>77</v>
      </c>
      <c r="D57" s="37" t="n">
        <f aca="false">1+(-2)*$C$56</f>
        <v>0.6</v>
      </c>
      <c r="E57" s="37" t="n">
        <f aca="false">1+(-1)*$C$56</f>
        <v>0.8</v>
      </c>
      <c r="F57" s="37" t="n">
        <f aca="false">1+(0)*$C$56</f>
        <v>1</v>
      </c>
      <c r="G57" s="37" t="n">
        <f aca="false">1+(1)*$C$56</f>
        <v>1.2</v>
      </c>
      <c r="H57" s="37" t="n">
        <f aca="false">1+(2)*$C$56</f>
        <v>1.4</v>
      </c>
    </row>
    <row r="58" customFormat="false" ht="15" hidden="false" customHeight="false" outlineLevel="0" collapsed="false">
      <c r="B58" s="3" t="s">
        <v>78</v>
      </c>
      <c r="D58" s="38" t="n">
        <f aca="false">Suporte!$I$50*D$57</f>
        <v>660</v>
      </c>
      <c r="E58" s="38" t="n">
        <f aca="false">Suporte!$I$50*E$57</f>
        <v>880</v>
      </c>
      <c r="F58" s="38" t="n">
        <f aca="false">Suporte!$I$50*F$57</f>
        <v>1100</v>
      </c>
      <c r="G58" s="38" t="n">
        <f aca="false">Suporte!$I$50*G$57</f>
        <v>1320</v>
      </c>
      <c r="H58" s="38" t="n">
        <f aca="false">Suporte!$I$50*H$57</f>
        <v>1540</v>
      </c>
    </row>
    <row r="59" customFormat="false" ht="15" hidden="false" customHeight="false" outlineLevel="0" collapsed="false">
      <c r="B59" s="5" t="s">
        <v>79</v>
      </c>
      <c r="D59" s="39" t="n">
        <f aca="false">DRE!$J$38/(((Suporte!$I$49-Suporte!$I$47/(Suporte!$I$50*D$57)+Suporte!$I$52)+((Suporte!$I$49-Suporte!$I$47/(Suporte!$I$50*D$57)+Suporte!$I$52)-Suporte!$J$47/(Suporte!$J$50*D$57)+Suporte!$J$52))/2)</f>
        <v>261.713224267219</v>
      </c>
      <c r="E59" s="39" t="n">
        <f aca="false">DRE!$J$38/(((Suporte!$I$49-Suporte!$I$47/(Suporte!$I$50*E$57)+Suporte!$I$52)+((Suporte!$I$49-Suporte!$I$47/(Suporte!$I$50*E$57)+Suporte!$I$52)-Suporte!$J$47/(Suporte!$J$50*E$57)+Suporte!$J$52))/2)</f>
        <v>236.807996852686</v>
      </c>
      <c r="F59" s="40" t="n">
        <f aca="false">DRE!$J$38/(((Suporte!$I$49-Suporte!$I$47/(Suporte!$I$50*F$57)+Suporte!$I$52)+((Suporte!$I$49-Suporte!$I$47/(Suporte!$I$50*F$57)+Suporte!$I$52)-Suporte!$J$47/(Suporte!$J$50*F$57)+Suporte!$J$52))/2)</f>
        <v>224.017203971726</v>
      </c>
      <c r="G59" s="39" t="n">
        <f aca="false">DRE!$J$38/(((Suporte!$I$49-Suporte!$I$47/(Suporte!$I$50*G$57)+Suporte!$I$52)+((Suporte!$I$49-Suporte!$I$47/(Suporte!$I$50*G$57)+Suporte!$I$52)-Suporte!$J$47/(Suporte!$J$50*G$57)+Suporte!$J$52))/2)</f>
        <v>216.230964981253</v>
      </c>
      <c r="H59" s="39" t="n">
        <f aca="false">DRE!$J$38/(((Suporte!$I$49-Suporte!$I$47/(Suporte!$I$50*H$57)+Suporte!$I$52)+((Suporte!$I$49-Suporte!$I$47/(Suporte!$I$50*H$57)+Suporte!$I$52)-Suporte!$J$47/(Suporte!$J$50*H$57)+Suporte!$J$52))/2)</f>
        <v>210.992720152506</v>
      </c>
      <c r="J59" s="3" t="str">
        <f aca="false">IF(ABS(F59-DRE!$J$39)&lt;0.01,"centro ok","ERRO")</f>
        <v>centro ok</v>
      </c>
    </row>
    <row r="61" customFormat="false" ht="15" hidden="false" customHeight="false" outlineLevel="0" collapsed="false">
      <c r="B61" s="4" t="s">
        <v>80</v>
      </c>
    </row>
    <row r="62" customFormat="false" ht="54" hidden="false" customHeight="true" outlineLevel="0" collapsed="false">
      <c r="B62" s="41" t="s">
        <v>81</v>
      </c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27.75" hidden="false" customHeight="true" outlineLevel="0" collapsed="false">
      <c r="B63" s="41" t="s">
        <v>82</v>
      </c>
      <c r="C63" s="41"/>
      <c r="D63" s="41"/>
      <c r="E63" s="41"/>
      <c r="F63" s="41"/>
      <c r="G63" s="41"/>
      <c r="H63" s="41"/>
      <c r="I63" s="41"/>
      <c r="J63" s="41"/>
      <c r="K63" s="41"/>
      <c r="L63" s="41"/>
    </row>
    <row r="64" customFormat="false" ht="40.5" hidden="false" customHeight="true" outlineLevel="0" collapsed="false">
      <c r="B64" s="41" t="s">
        <v>83</v>
      </c>
      <c r="C64" s="41"/>
      <c r="D64" s="41"/>
      <c r="E64" s="41"/>
      <c r="F64" s="41"/>
      <c r="G64" s="41"/>
      <c r="H64" s="41"/>
      <c r="I64" s="41"/>
      <c r="J64" s="41"/>
      <c r="K64" s="41"/>
      <c r="L64" s="41"/>
    </row>
    <row r="65" customFormat="false" ht="40.5" hidden="false" customHeight="true" outlineLevel="0" collapsed="false">
      <c r="B65" s="41" t="s">
        <v>84</v>
      </c>
      <c r="C65" s="41"/>
      <c r="D65" s="41"/>
      <c r="E65" s="41"/>
      <c r="F65" s="41"/>
      <c r="G65" s="41"/>
      <c r="H65" s="41"/>
      <c r="I65" s="41"/>
      <c r="J65" s="41"/>
      <c r="K65" s="41"/>
      <c r="L65" s="41"/>
    </row>
    <row r="66" customFormat="false" ht="27.75" hidden="false" customHeight="true" outlineLevel="0" collapsed="false">
      <c r="B66" s="41" t="s">
        <v>85</v>
      </c>
      <c r="C66" s="41"/>
      <c r="D66" s="41"/>
      <c r="E66" s="41"/>
      <c r="F66" s="41"/>
      <c r="G66" s="41"/>
      <c r="H66" s="41"/>
      <c r="I66" s="41"/>
      <c r="J66" s="41"/>
      <c r="K66" s="41"/>
      <c r="L66" s="41"/>
    </row>
    <row r="68" customFormat="false" ht="15" hidden="false" customHeight="false" outlineLevel="0" collapsed="false">
      <c r="B68" s="4" t="s">
        <v>86</v>
      </c>
    </row>
    <row r="69" customFormat="false" ht="27.75" hidden="false" customHeight="true" outlineLevel="0" collapsed="false">
      <c r="B69" s="41" t="s">
        <v>87</v>
      </c>
      <c r="C69" s="41"/>
      <c r="D69" s="41"/>
      <c r="E69" s="41"/>
      <c r="F69" s="41"/>
      <c r="G69" s="41"/>
      <c r="H69" s="41"/>
      <c r="I69" s="41"/>
      <c r="J69" s="41"/>
      <c r="K69" s="41"/>
      <c r="L69" s="41"/>
    </row>
    <row r="70" customFormat="false" ht="27.75" hidden="false" customHeight="true" outlineLevel="0" collapsed="false">
      <c r="B70" s="41" t="s">
        <v>88</v>
      </c>
      <c r="C70" s="41"/>
      <c r="D70" s="41"/>
      <c r="E70" s="41"/>
      <c r="F70" s="41"/>
      <c r="G70" s="41"/>
      <c r="H70" s="41"/>
      <c r="I70" s="41"/>
      <c r="J70" s="41"/>
      <c r="K70" s="41"/>
      <c r="L70" s="41"/>
    </row>
    <row r="71" customFormat="false" ht="27.75" hidden="false" customHeight="true" outlineLevel="0" collapsed="false">
      <c r="B71" s="41" t="s">
        <v>89</v>
      </c>
      <c r="C71" s="41"/>
      <c r="D71" s="41"/>
      <c r="E71" s="41"/>
      <c r="F71" s="41"/>
      <c r="G71" s="41"/>
      <c r="H71" s="41"/>
      <c r="I71" s="41"/>
      <c r="J71" s="41"/>
      <c r="K71" s="41"/>
      <c r="L71" s="41"/>
    </row>
    <row r="72" customFormat="false" ht="40.5" hidden="false" customHeight="true" outlineLevel="0" collapsed="false">
      <c r="B72" s="41" t="s">
        <v>90</v>
      </c>
      <c r="C72" s="41"/>
      <c r="D72" s="41"/>
      <c r="E72" s="41"/>
      <c r="F72" s="41"/>
      <c r="G72" s="41"/>
      <c r="H72" s="41"/>
      <c r="I72" s="41"/>
      <c r="J72" s="41"/>
      <c r="K72" s="41"/>
      <c r="L72" s="41"/>
    </row>
  </sheetData>
  <mergeCells count="9">
    <mergeCell ref="B62:L62"/>
    <mergeCell ref="B63:L63"/>
    <mergeCell ref="B64:L64"/>
    <mergeCell ref="B65:L65"/>
    <mergeCell ref="B66:L66"/>
    <mergeCell ref="B69:L69"/>
    <mergeCell ref="B70:L70"/>
    <mergeCell ref="B71:L71"/>
    <mergeCell ref="B72:L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23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91</v>
      </c>
    </row>
    <row r="2" customFormat="false" ht="15" hidden="false" customHeight="false" outlineLevel="0" collapsed="false">
      <c r="B2" s="3" t="s">
        <v>92</v>
      </c>
    </row>
    <row r="4" customFormat="false" ht="15" hidden="false" customHeight="false" outlineLevel="0" collapsed="false">
      <c r="B4" s="5" t="s">
        <v>93</v>
      </c>
      <c r="C4" s="3" t="s">
        <v>94</v>
      </c>
      <c r="D4" s="42" t="n">
        <v>1</v>
      </c>
      <c r="E4" s="5" t="str">
        <f aca="false">IFERROR(CHOOSE($D$4,"Base","Bull","Bear"),"ERRO: usar 1, 2 ou 3")</f>
        <v>Base</v>
      </c>
    </row>
    <row r="6" customFormat="false" ht="15" hidden="false" customHeight="false" outlineLevel="0" collapsed="false">
      <c r="B6" s="20" t="s">
        <v>27</v>
      </c>
      <c r="C6" s="21"/>
      <c r="D6" s="22" t="s">
        <v>95</v>
      </c>
      <c r="E6" s="22" t="s">
        <v>96</v>
      </c>
      <c r="F6" s="22" t="s">
        <v>28</v>
      </c>
      <c r="G6" s="22" t="s">
        <v>29</v>
      </c>
      <c r="H6" s="22" t="s">
        <v>30</v>
      </c>
      <c r="I6" s="22" t="s">
        <v>31</v>
      </c>
      <c r="J6" s="22" t="s">
        <v>32</v>
      </c>
      <c r="K6" s="22" t="s">
        <v>33</v>
      </c>
      <c r="L6" s="22" t="s">
        <v>34</v>
      </c>
      <c r="M6" s="22" t="s">
        <v>35</v>
      </c>
    </row>
    <row r="7" customFormat="false" ht="15" hidden="false" customHeight="false" outlineLevel="0" collapsed="false">
      <c r="B7" s="5" t="s">
        <v>97</v>
      </c>
      <c r="C7" s="3" t="s">
        <v>98</v>
      </c>
    </row>
    <row r="8" customFormat="false" ht="15" hidden="false" customHeight="false" outlineLevel="0" collapsed="false">
      <c r="B8" s="6" t="s">
        <v>99</v>
      </c>
      <c r="I8" s="8" t="n">
        <v>0.15</v>
      </c>
      <c r="J8" s="8" t="n">
        <v>0.14</v>
      </c>
      <c r="K8" s="8" t="n">
        <v>0.11</v>
      </c>
      <c r="L8" s="8" t="n">
        <v>0.09</v>
      </c>
      <c r="M8" s="8" t="n">
        <v>0.16</v>
      </c>
    </row>
    <row r="9" customFormat="false" ht="15" hidden="false" customHeight="false" outlineLevel="0" collapsed="false">
      <c r="B9" s="6" t="s">
        <v>100</v>
      </c>
      <c r="I9" s="8" t="n">
        <v>0.17</v>
      </c>
      <c r="J9" s="8" t="n">
        <v>0.19</v>
      </c>
      <c r="K9" s="8" t="n">
        <v>0.18</v>
      </c>
      <c r="L9" s="8" t="n">
        <v>0.14</v>
      </c>
      <c r="M9" s="8" t="n">
        <v>0.15</v>
      </c>
    </row>
    <row r="10" customFormat="false" ht="15" hidden="false" customHeight="false" outlineLevel="0" collapsed="false">
      <c r="B10" s="6" t="s">
        <v>101</v>
      </c>
      <c r="I10" s="8" t="n">
        <v>0.14</v>
      </c>
      <c r="J10" s="8" t="n">
        <v>0.12</v>
      </c>
      <c r="K10" s="8" t="n">
        <v>0.08</v>
      </c>
      <c r="L10" s="8" t="n">
        <v>0.1</v>
      </c>
      <c r="M10" s="8" t="n">
        <v>0.17</v>
      </c>
    </row>
    <row r="11" customFormat="false" ht="15" hidden="false" customHeight="false" outlineLevel="0" collapsed="false">
      <c r="B11" s="5" t="s">
        <v>102</v>
      </c>
      <c r="C11" s="3" t="s">
        <v>103</v>
      </c>
      <c r="E11" s="14" t="n">
        <f aca="false">Operacional!E12</f>
        <v>-0.50960421692129</v>
      </c>
      <c r="F11" s="14" t="n">
        <f aca="false">Operacional!F12</f>
        <v>0.603206412825651</v>
      </c>
      <c r="G11" s="14" t="n">
        <f aca="false">Operacional!G12</f>
        <v>0.62375</v>
      </c>
      <c r="H11" s="14" t="n">
        <f aca="false">Operacional!H12</f>
        <v>2.52410945482539</v>
      </c>
      <c r="I11" s="43" t="n">
        <f aca="false">CHOOSE($D$4,I8,I9,I10)</f>
        <v>0.15</v>
      </c>
      <c r="J11" s="43" t="n">
        <f aca="false">CHOOSE($D$4,J8,J9,J10)</f>
        <v>0.14</v>
      </c>
      <c r="K11" s="43" t="n">
        <f aca="false">CHOOSE($D$4,K8,K9,K10)</f>
        <v>0.11</v>
      </c>
      <c r="L11" s="43" t="n">
        <f aca="false">CHOOSE($D$4,L8,L9,L10)</f>
        <v>0.09</v>
      </c>
      <c r="M11" s="43" t="n">
        <f aca="false">CHOOSE($D$4,M8,M9,M10)</f>
        <v>0.16</v>
      </c>
    </row>
    <row r="13" customFormat="false" ht="15" hidden="false" customHeight="false" outlineLevel="0" collapsed="false">
      <c r="B13" s="5" t="s">
        <v>104</v>
      </c>
      <c r="C13" s="3" t="s">
        <v>98</v>
      </c>
    </row>
    <row r="14" customFormat="false" ht="15" hidden="false" customHeight="false" outlineLevel="0" collapsed="false">
      <c r="B14" s="6" t="s">
        <v>99</v>
      </c>
      <c r="I14" s="8" t="n">
        <v>0.76</v>
      </c>
      <c r="J14" s="8" t="n">
        <v>0.015</v>
      </c>
      <c r="K14" s="8" t="n">
        <v>-0.35</v>
      </c>
      <c r="L14" s="8" t="n">
        <v>-0.3</v>
      </c>
      <c r="M14" s="8" t="n">
        <v>0.06</v>
      </c>
    </row>
    <row r="15" customFormat="false" ht="15" hidden="false" customHeight="false" outlineLevel="0" collapsed="false">
      <c r="B15" s="6" t="s">
        <v>100</v>
      </c>
      <c r="I15" s="8" t="n">
        <v>0.8</v>
      </c>
      <c r="J15" s="8" t="n">
        <v>0.1</v>
      </c>
      <c r="K15" s="8" t="n">
        <v>-0.12</v>
      </c>
      <c r="L15" s="8" t="n">
        <v>-0.3</v>
      </c>
      <c r="M15" s="8" t="n">
        <v>-0.14</v>
      </c>
    </row>
    <row r="16" customFormat="false" ht="15" hidden="false" customHeight="false" outlineLevel="0" collapsed="false">
      <c r="B16" s="6" t="s">
        <v>101</v>
      </c>
      <c r="I16" s="8" t="n">
        <v>0.58</v>
      </c>
      <c r="J16" s="8" t="n">
        <v>-0.36</v>
      </c>
      <c r="K16" s="8" t="n">
        <v>-0.42</v>
      </c>
      <c r="L16" s="8" t="n">
        <v>-0.16</v>
      </c>
      <c r="M16" s="8" t="n">
        <v>0.1</v>
      </c>
    </row>
    <row r="17" customFormat="false" ht="15" hidden="false" customHeight="false" outlineLevel="0" collapsed="false">
      <c r="B17" s="5" t="s">
        <v>102</v>
      </c>
      <c r="I17" s="43" t="n">
        <f aca="false">CHOOSE($D$4,I14,I15,I16)</f>
        <v>0.76</v>
      </c>
      <c r="J17" s="43" t="n">
        <f aca="false">CHOOSE($D$4,J14,J15,J16)</f>
        <v>0.015</v>
      </c>
      <c r="K17" s="43" t="n">
        <f aca="false">CHOOSE($D$4,K14,K15,K16)</f>
        <v>-0.35</v>
      </c>
      <c r="L17" s="43" t="n">
        <f aca="false">CHOOSE($D$4,L14,L15,L16)</f>
        <v>-0.3</v>
      </c>
      <c r="M17" s="43" t="n">
        <f aca="false">CHOOSE($D$4,M14,M15,M16)</f>
        <v>0.06</v>
      </c>
    </row>
    <row r="19" customFormat="false" ht="15" hidden="false" customHeight="false" outlineLevel="0" collapsed="false">
      <c r="B19" s="5" t="s">
        <v>105</v>
      </c>
      <c r="C19" s="3" t="s">
        <v>98</v>
      </c>
    </row>
    <row r="20" customFormat="false" ht="15" hidden="false" customHeight="false" outlineLevel="0" collapsed="false">
      <c r="B20" s="6" t="s">
        <v>99</v>
      </c>
      <c r="I20" s="8" t="n">
        <v>0.24</v>
      </c>
      <c r="J20" s="8" t="n">
        <v>0.02</v>
      </c>
      <c r="K20" s="8" t="n">
        <v>0.07</v>
      </c>
      <c r="L20" s="8" t="n">
        <v>-0.02</v>
      </c>
      <c r="M20" s="8" t="n">
        <v>-0.09</v>
      </c>
    </row>
    <row r="21" customFormat="false" ht="15" hidden="false" customHeight="false" outlineLevel="0" collapsed="false">
      <c r="B21" s="6" t="s">
        <v>100</v>
      </c>
      <c r="I21" s="8" t="n">
        <v>0.21</v>
      </c>
      <c r="J21" s="8" t="n">
        <v>-0.03</v>
      </c>
      <c r="K21" s="8" t="n">
        <v>-0.03</v>
      </c>
      <c r="L21" s="8" t="n">
        <v>0.03</v>
      </c>
      <c r="M21" s="8" t="n">
        <v>-0.06</v>
      </c>
    </row>
    <row r="22" customFormat="false" ht="15" hidden="false" customHeight="false" outlineLevel="0" collapsed="false">
      <c r="B22" s="6" t="s">
        <v>101</v>
      </c>
      <c r="I22" s="8" t="n">
        <v>0.25</v>
      </c>
      <c r="J22" s="8" t="n">
        <v>0.07</v>
      </c>
      <c r="K22" s="8" t="n">
        <v>0.1</v>
      </c>
      <c r="L22" s="8" t="n">
        <v>-0.01</v>
      </c>
      <c r="M22" s="8" t="n">
        <v>-0.11</v>
      </c>
    </row>
    <row r="23" customFormat="false" ht="15" hidden="false" customHeight="false" outlineLevel="0" collapsed="false">
      <c r="B23" s="5" t="s">
        <v>102</v>
      </c>
      <c r="I23" s="43" t="n">
        <f aca="false">CHOOSE($D$4,I20,I21,I22)</f>
        <v>0.24</v>
      </c>
      <c r="J23" s="43" t="n">
        <f aca="false">CHOOSE($D$4,J20,J21,J22)</f>
        <v>0.02</v>
      </c>
      <c r="K23" s="43" t="n">
        <f aca="false">CHOOSE($D$4,K20,K21,K22)</f>
        <v>0.07</v>
      </c>
      <c r="L23" s="43" t="n">
        <f aca="false">CHOOSE($D$4,L20,L21,L22)</f>
        <v>-0.02</v>
      </c>
      <c r="M23" s="43" t="n">
        <f aca="false">CHOOSE($D$4,M20,M21,M22)</f>
        <v>-0.09</v>
      </c>
    </row>
    <row r="25" customFormat="false" ht="15" hidden="false" customHeight="false" outlineLevel="0" collapsed="false">
      <c r="B25" s="5" t="s">
        <v>106</v>
      </c>
      <c r="C25" s="3" t="s">
        <v>98</v>
      </c>
    </row>
    <row r="26" customFormat="false" ht="15" hidden="false" customHeight="false" outlineLevel="0" collapsed="false">
      <c r="B26" s="6" t="s">
        <v>99</v>
      </c>
      <c r="I26" s="8" t="n">
        <v>0.18</v>
      </c>
      <c r="J26" s="8" t="n">
        <v>0.17</v>
      </c>
      <c r="K26" s="8" t="n">
        <v>0.11</v>
      </c>
      <c r="L26" s="8" t="n">
        <v>0.12</v>
      </c>
      <c r="M26" s="8" t="n">
        <v>0.19</v>
      </c>
    </row>
    <row r="27" customFormat="false" ht="15" hidden="false" customHeight="false" outlineLevel="0" collapsed="false">
      <c r="B27" s="6" t="s">
        <v>100</v>
      </c>
      <c r="I27" s="8" t="n">
        <v>0.19</v>
      </c>
      <c r="J27" s="8" t="n">
        <v>0.2</v>
      </c>
      <c r="K27" s="8" t="n">
        <v>0.16</v>
      </c>
      <c r="L27" s="8" t="n">
        <v>0.13</v>
      </c>
      <c r="M27" s="8" t="n">
        <v>0.15</v>
      </c>
    </row>
    <row r="28" customFormat="false" ht="15" hidden="false" customHeight="false" outlineLevel="0" collapsed="false">
      <c r="B28" s="6" t="s">
        <v>101</v>
      </c>
      <c r="I28" s="8" t="n">
        <v>0.16</v>
      </c>
      <c r="J28" s="8" t="n">
        <v>0.1</v>
      </c>
      <c r="K28" s="8" t="n">
        <v>0.07</v>
      </c>
      <c r="L28" s="8" t="n">
        <v>0.1</v>
      </c>
      <c r="M28" s="8" t="n">
        <v>0.18</v>
      </c>
    </row>
    <row r="29" customFormat="false" ht="15" hidden="false" customHeight="false" outlineLevel="0" collapsed="false">
      <c r="B29" s="5" t="s">
        <v>102</v>
      </c>
      <c r="C29" s="3" t="s">
        <v>103</v>
      </c>
      <c r="E29" s="14" t="n">
        <f aca="false">Operacional!E13</f>
        <v>-0.461528613493791</v>
      </c>
      <c r="F29" s="14" t="n">
        <f aca="false">Operacional!F13</f>
        <v>0.718972895863053</v>
      </c>
      <c r="G29" s="14" t="n">
        <f aca="false">Operacional!G13</f>
        <v>0.176071922544952</v>
      </c>
      <c r="H29" s="14" t="n">
        <f aca="false">Operacional!H13</f>
        <v>2.73315300482183</v>
      </c>
      <c r="I29" s="43" t="n">
        <f aca="false">CHOOSE($D$4,I26,I27,I28)</f>
        <v>0.18</v>
      </c>
      <c r="J29" s="43" t="n">
        <f aca="false">CHOOSE($D$4,J26,J27,J28)</f>
        <v>0.17</v>
      </c>
      <c r="K29" s="43" t="n">
        <f aca="false">CHOOSE($D$4,K26,K27,K28)</f>
        <v>0.11</v>
      </c>
      <c r="L29" s="43" t="n">
        <f aca="false">CHOOSE($D$4,L26,L27,L28)</f>
        <v>0.12</v>
      </c>
      <c r="M29" s="43" t="n">
        <f aca="false">CHOOSE($D$4,M26,M27,M28)</f>
        <v>0.19</v>
      </c>
    </row>
    <row r="31" customFormat="false" ht="15" hidden="false" customHeight="false" outlineLevel="0" collapsed="false">
      <c r="B31" s="5" t="s">
        <v>107</v>
      </c>
      <c r="C31" s="3" t="s">
        <v>98</v>
      </c>
    </row>
    <row r="32" customFormat="false" ht="15" hidden="false" customHeight="false" outlineLevel="0" collapsed="false">
      <c r="B32" s="6" t="s">
        <v>99</v>
      </c>
      <c r="I32" s="8" t="n">
        <v>0.82</v>
      </c>
      <c r="J32" s="8" t="n">
        <v>-0.2</v>
      </c>
      <c r="K32" s="8" t="n">
        <v>-0.4</v>
      </c>
      <c r="L32" s="8" t="n">
        <v>-0.24</v>
      </c>
      <c r="M32" s="8" t="n">
        <v>0.08</v>
      </c>
    </row>
    <row r="33" customFormat="false" ht="15" hidden="false" customHeight="false" outlineLevel="0" collapsed="false">
      <c r="B33" s="6" t="s">
        <v>100</v>
      </c>
      <c r="I33" s="8" t="n">
        <v>0.9</v>
      </c>
      <c r="J33" s="8" t="n">
        <v>-0.05</v>
      </c>
      <c r="K33" s="8" t="n">
        <v>-0.18</v>
      </c>
      <c r="L33" s="8" t="n">
        <v>-0.3</v>
      </c>
      <c r="M33" s="8" t="n">
        <v>-0.12</v>
      </c>
    </row>
    <row r="34" customFormat="false" ht="15" hidden="false" customHeight="false" outlineLevel="0" collapsed="false">
      <c r="B34" s="6" t="s">
        <v>101</v>
      </c>
      <c r="I34" s="8" t="n">
        <v>0.7</v>
      </c>
      <c r="J34" s="8" t="n">
        <v>-0.44</v>
      </c>
      <c r="K34" s="8" t="n">
        <v>-0.44</v>
      </c>
      <c r="L34" s="8" t="n">
        <v>-0.15</v>
      </c>
      <c r="M34" s="8" t="n">
        <v>0.12</v>
      </c>
    </row>
    <row r="35" customFormat="false" ht="15" hidden="false" customHeight="false" outlineLevel="0" collapsed="false">
      <c r="B35" s="5" t="s">
        <v>102</v>
      </c>
      <c r="I35" s="43" t="n">
        <f aca="false">CHOOSE($D$4,I32,I33,I34)</f>
        <v>0.82</v>
      </c>
      <c r="J35" s="43" t="n">
        <f aca="false">CHOOSE($D$4,J32,J33,J34)</f>
        <v>-0.2</v>
      </c>
      <c r="K35" s="43" t="n">
        <f aca="false">CHOOSE($D$4,K32,K33,K34)</f>
        <v>-0.4</v>
      </c>
      <c r="L35" s="43" t="n">
        <f aca="false">CHOOSE($D$4,L32,L33,L34)</f>
        <v>-0.24</v>
      </c>
      <c r="M35" s="43" t="n">
        <f aca="false">CHOOSE($D$4,M32,M33,M34)</f>
        <v>0.08</v>
      </c>
    </row>
    <row r="37" customFormat="false" ht="15" hidden="false" customHeight="false" outlineLevel="0" collapsed="false">
      <c r="B37" s="5" t="s">
        <v>108</v>
      </c>
      <c r="C37" s="3" t="s">
        <v>98</v>
      </c>
    </row>
    <row r="38" customFormat="false" ht="15" hidden="false" customHeight="false" outlineLevel="0" collapsed="false">
      <c r="B38" s="6" t="s">
        <v>99</v>
      </c>
      <c r="I38" s="8" t="n">
        <v>0.14</v>
      </c>
      <c r="J38" s="8" t="n">
        <v>-0.03</v>
      </c>
      <c r="K38" s="8" t="n">
        <v>0.06</v>
      </c>
      <c r="L38" s="8" t="n">
        <v>-0.02</v>
      </c>
      <c r="M38" s="8" t="n">
        <v>-0.09</v>
      </c>
    </row>
    <row r="39" customFormat="false" ht="15" hidden="false" customHeight="false" outlineLevel="0" collapsed="false">
      <c r="B39" s="6" t="s">
        <v>100</v>
      </c>
      <c r="I39" s="8" t="n">
        <v>0.12</v>
      </c>
      <c r="J39" s="8" t="n">
        <v>-0.05</v>
      </c>
      <c r="K39" s="8" t="n">
        <v>-0.04</v>
      </c>
      <c r="L39" s="8" t="n">
        <v>0.02</v>
      </c>
      <c r="M39" s="8" t="n">
        <v>-0.07</v>
      </c>
    </row>
    <row r="40" customFormat="false" ht="15" hidden="false" customHeight="false" outlineLevel="0" collapsed="false">
      <c r="B40" s="6" t="s">
        <v>101</v>
      </c>
      <c r="I40" s="8" t="n">
        <v>0.16</v>
      </c>
      <c r="J40" s="8" t="n">
        <v>0.03</v>
      </c>
      <c r="K40" s="8" t="n">
        <v>0.08</v>
      </c>
      <c r="L40" s="8" t="n">
        <v>-0.02</v>
      </c>
      <c r="M40" s="8" t="n">
        <v>-0.11</v>
      </c>
    </row>
    <row r="41" customFormat="false" ht="15" hidden="false" customHeight="false" outlineLevel="0" collapsed="false">
      <c r="B41" s="5" t="s">
        <v>102</v>
      </c>
      <c r="I41" s="43" t="n">
        <f aca="false">CHOOSE($D$4,I38,I39,I40)</f>
        <v>0.14</v>
      </c>
      <c r="J41" s="43" t="n">
        <f aca="false">CHOOSE($D$4,J38,J39,J40)</f>
        <v>-0.03</v>
      </c>
      <c r="K41" s="43" t="n">
        <f aca="false">CHOOSE($D$4,K38,K39,K40)</f>
        <v>0.06</v>
      </c>
      <c r="L41" s="43" t="n">
        <f aca="false">CHOOSE($D$4,L38,L39,L40)</f>
        <v>-0.02</v>
      </c>
      <c r="M41" s="43" t="n">
        <f aca="false">CHOOSE($D$4,M38,M39,M40)</f>
        <v>-0.09</v>
      </c>
    </row>
    <row r="43" customFormat="false" ht="15" hidden="false" customHeight="false" outlineLevel="0" collapsed="false">
      <c r="B43" s="5" t="s">
        <v>109</v>
      </c>
      <c r="C43" s="3" t="s">
        <v>98</v>
      </c>
    </row>
    <row r="44" customFormat="false" ht="15" hidden="false" customHeight="false" outlineLevel="0" collapsed="false">
      <c r="B44" s="6" t="s">
        <v>99</v>
      </c>
      <c r="I44" s="8" t="n">
        <v>0.12</v>
      </c>
      <c r="J44" s="8" t="n">
        <v>0.04</v>
      </c>
      <c r="K44" s="8" t="n">
        <v>-0.12</v>
      </c>
      <c r="L44" s="8" t="n">
        <v>-0.08</v>
      </c>
      <c r="M44" s="8" t="n">
        <v>0.07</v>
      </c>
    </row>
    <row r="45" customFormat="false" ht="15" hidden="false" customHeight="false" outlineLevel="0" collapsed="false">
      <c r="B45" s="6" t="s">
        <v>100</v>
      </c>
      <c r="I45" s="8" t="n">
        <v>0.18</v>
      </c>
      <c r="J45" s="8" t="n">
        <v>0.08</v>
      </c>
      <c r="K45" s="8" t="n">
        <v>0</v>
      </c>
      <c r="L45" s="8" t="n">
        <v>-0.08</v>
      </c>
      <c r="M45" s="8" t="n">
        <v>0.04</v>
      </c>
    </row>
    <row r="46" customFormat="false" ht="15" hidden="false" customHeight="false" outlineLevel="0" collapsed="false">
      <c r="B46" s="6" t="s">
        <v>101</v>
      </c>
      <c r="I46" s="8" t="n">
        <v>0.08</v>
      </c>
      <c r="J46" s="8" t="n">
        <v>-0.12</v>
      </c>
      <c r="K46" s="8" t="n">
        <v>-0.2</v>
      </c>
      <c r="L46" s="8" t="n">
        <v>-0.05</v>
      </c>
      <c r="M46" s="8" t="n">
        <v>0.08</v>
      </c>
    </row>
    <row r="47" customFormat="false" ht="15" hidden="false" customHeight="false" outlineLevel="0" collapsed="false">
      <c r="B47" s="5" t="s">
        <v>102</v>
      </c>
      <c r="E47" s="14" t="n">
        <f aca="false">Operacional!E8/Operacional!D8-1</f>
        <v>-0.36541889483066</v>
      </c>
      <c r="F47" s="14" t="n">
        <f aca="false">Operacional!F8/Operacional!E8-1</f>
        <v>-0.210674157303371</v>
      </c>
      <c r="G47" s="14" t="n">
        <f aca="false">Operacional!G8/Operacional!F8-1</f>
        <v>0.0569395017793595</v>
      </c>
      <c r="H47" s="14" t="n">
        <f aca="false">Operacional!H8/Operacional!G8-1</f>
        <v>1.46801346801347</v>
      </c>
      <c r="I47" s="43" t="n">
        <f aca="false">CHOOSE($D$4,I44,I45,I46)</f>
        <v>0.12</v>
      </c>
      <c r="J47" s="43" t="n">
        <f aca="false">CHOOSE($D$4,J44,J45,J46)</f>
        <v>0.04</v>
      </c>
      <c r="K47" s="43" t="n">
        <f aca="false">CHOOSE($D$4,K44,K45,K46)</f>
        <v>-0.12</v>
      </c>
      <c r="L47" s="43" t="n">
        <f aca="false">CHOOSE($D$4,L44,L45,L46)</f>
        <v>-0.08</v>
      </c>
      <c r="M47" s="43" t="n">
        <f aca="false">CHOOSE($D$4,M44,M45,M46)</f>
        <v>0.07</v>
      </c>
    </row>
    <row r="49" customFormat="false" ht="15" hidden="false" customHeight="false" outlineLevel="0" collapsed="false">
      <c r="B49" s="5" t="s">
        <v>110</v>
      </c>
      <c r="C49" s="3" t="s">
        <v>98</v>
      </c>
    </row>
    <row r="50" customFormat="false" ht="15" hidden="false" customHeight="false" outlineLevel="0" collapsed="false">
      <c r="B50" s="6" t="s">
        <v>99</v>
      </c>
      <c r="I50" s="8" t="n">
        <v>0.32</v>
      </c>
      <c r="J50" s="8" t="n">
        <v>0.13</v>
      </c>
      <c r="K50" s="8" t="n">
        <v>0.03</v>
      </c>
      <c r="L50" s="8" t="n">
        <v>-0.02</v>
      </c>
      <c r="M50" s="8" t="n">
        <v>0.06</v>
      </c>
    </row>
    <row r="51" customFormat="false" ht="15" hidden="false" customHeight="false" outlineLevel="0" collapsed="false">
      <c r="B51" s="6" t="s">
        <v>100</v>
      </c>
      <c r="I51" s="8" t="n">
        <v>0.34</v>
      </c>
      <c r="J51" s="8" t="n">
        <v>0.16</v>
      </c>
      <c r="K51" s="8" t="n">
        <v>0.09</v>
      </c>
      <c r="L51" s="8" t="n">
        <v>0.02</v>
      </c>
      <c r="M51" s="8" t="n">
        <v>0.03</v>
      </c>
    </row>
    <row r="52" customFormat="false" ht="15" hidden="false" customHeight="false" outlineLevel="0" collapsed="false">
      <c r="B52" s="6" t="s">
        <v>101</v>
      </c>
      <c r="I52" s="8" t="n">
        <v>0.3</v>
      </c>
      <c r="J52" s="8" t="n">
        <v>0.04</v>
      </c>
      <c r="K52" s="8" t="n">
        <v>-0.05</v>
      </c>
      <c r="L52" s="8" t="n">
        <v>-0.06</v>
      </c>
      <c r="M52" s="8" t="n">
        <v>0.03</v>
      </c>
    </row>
    <row r="53" customFormat="false" ht="15" hidden="false" customHeight="false" outlineLevel="0" collapsed="false">
      <c r="B53" s="5" t="s">
        <v>102</v>
      </c>
      <c r="E53" s="14" t="n">
        <f aca="false">DRE!E10/DRE!D10-1</f>
        <v>-0.000641848523748378</v>
      </c>
      <c r="F53" s="14" t="n">
        <f aca="false">DRE!F10/DRE!E10-1</f>
        <v>0.101477199743096</v>
      </c>
      <c r="G53" s="14" t="n">
        <f aca="false">DRE!G10/DRE!F10-1</f>
        <v>0.107288629737609</v>
      </c>
      <c r="H53" s="14" t="n">
        <f aca="false">DRE!H10/DRE!G10-1</f>
        <v>0.487625065824118</v>
      </c>
      <c r="I53" s="43" t="n">
        <f aca="false">CHOOSE($D$4,I50,I51,I52)</f>
        <v>0.32</v>
      </c>
      <c r="J53" s="43" t="n">
        <f aca="false">CHOOSE($D$4,J50,J51,J52)</f>
        <v>0.13</v>
      </c>
      <c r="K53" s="43" t="n">
        <f aca="false">CHOOSE($D$4,K50,K51,K52)</f>
        <v>0.03</v>
      </c>
      <c r="L53" s="43" t="n">
        <f aca="false">CHOOSE($D$4,L50,L51,L52)</f>
        <v>-0.02</v>
      </c>
      <c r="M53" s="43" t="n">
        <f aca="false">CHOOSE($D$4,M50,M51,M52)</f>
        <v>0.06</v>
      </c>
    </row>
    <row r="55" customFormat="false" ht="15" hidden="false" customHeight="false" outlineLevel="0" collapsed="false">
      <c r="B55" s="5" t="s">
        <v>111</v>
      </c>
      <c r="C55" s="3" t="s">
        <v>98</v>
      </c>
    </row>
    <row r="56" customFormat="false" ht="15" hidden="false" customHeight="false" outlineLevel="0" collapsed="false">
      <c r="B56" s="6" t="s">
        <v>99</v>
      </c>
      <c r="I56" s="8" t="n">
        <v>0.25</v>
      </c>
      <c r="J56" s="8" t="n">
        <v>0.09</v>
      </c>
      <c r="K56" s="8" t="n">
        <v>-0.01</v>
      </c>
      <c r="L56" s="8" t="n">
        <v>-0.05</v>
      </c>
      <c r="M56" s="8" t="n">
        <v>0.05</v>
      </c>
    </row>
    <row r="57" customFormat="false" ht="15" hidden="false" customHeight="false" outlineLevel="0" collapsed="false">
      <c r="B57" s="6" t="s">
        <v>100</v>
      </c>
      <c r="I57" s="8" t="n">
        <v>0.27</v>
      </c>
      <c r="J57" s="8" t="n">
        <v>0.11</v>
      </c>
      <c r="K57" s="8" t="n">
        <v>0.06</v>
      </c>
      <c r="L57" s="8" t="n">
        <v>0</v>
      </c>
      <c r="M57" s="8" t="n">
        <v>0.02</v>
      </c>
    </row>
    <row r="58" customFormat="false" ht="15" hidden="false" customHeight="false" outlineLevel="0" collapsed="false">
      <c r="B58" s="6" t="s">
        <v>101</v>
      </c>
      <c r="I58" s="8" t="n">
        <v>0.23</v>
      </c>
      <c r="J58" s="8" t="n">
        <v>0.01</v>
      </c>
      <c r="K58" s="8" t="n">
        <v>-0.07</v>
      </c>
      <c r="L58" s="8" t="n">
        <v>-0.08</v>
      </c>
      <c r="M58" s="8" t="n">
        <v>0.03</v>
      </c>
    </row>
    <row r="59" customFormat="false" ht="15" hidden="false" customHeight="false" outlineLevel="0" collapsed="false">
      <c r="B59" s="5" t="s">
        <v>102</v>
      </c>
      <c r="E59" s="14" t="n">
        <f aca="false">DRE!E11/DRE!D11-1</f>
        <v>-0.136960600375235</v>
      </c>
      <c r="F59" s="14" t="n">
        <f aca="false">DRE!F11/DRE!E11-1</f>
        <v>0.227173913043478</v>
      </c>
      <c r="G59" s="14" t="n">
        <f aca="false">DRE!G11/DRE!F11-1</f>
        <v>0.0673162090345438</v>
      </c>
      <c r="H59" s="14" t="n">
        <f aca="false">DRE!H11/DRE!G11-1</f>
        <v>0.615767634854772</v>
      </c>
      <c r="I59" s="43" t="n">
        <f aca="false">CHOOSE($D$4,I56,I57,I58)</f>
        <v>0.25</v>
      </c>
      <c r="J59" s="43" t="n">
        <f aca="false">CHOOSE($D$4,J56,J57,J58)</f>
        <v>0.09</v>
      </c>
      <c r="K59" s="43" t="n">
        <f aca="false">CHOOSE($D$4,K56,K57,K58)</f>
        <v>-0.01</v>
      </c>
      <c r="L59" s="43" t="n">
        <f aca="false">CHOOSE($D$4,L56,L57,L58)</f>
        <v>-0.05</v>
      </c>
      <c r="M59" s="43" t="n">
        <f aca="false">CHOOSE($D$4,M56,M57,M58)</f>
        <v>0.05</v>
      </c>
    </row>
    <row r="61" customFormat="false" ht="15" hidden="false" customHeight="false" outlineLevel="0" collapsed="false">
      <c r="B61" s="5" t="s">
        <v>112</v>
      </c>
      <c r="C61" s="3" t="s">
        <v>98</v>
      </c>
    </row>
    <row r="62" customFormat="false" ht="15" hidden="false" customHeight="false" outlineLevel="0" collapsed="false">
      <c r="B62" s="6" t="s">
        <v>99</v>
      </c>
      <c r="I62" s="44" t="n">
        <v>0.0073</v>
      </c>
      <c r="J62" s="44" t="n">
        <v>0.0076</v>
      </c>
      <c r="K62" s="44" t="n">
        <v>0.0117</v>
      </c>
      <c r="L62" s="44" t="n">
        <v>0.0153</v>
      </c>
      <c r="M62" s="44" t="n">
        <v>0.0133</v>
      </c>
    </row>
    <row r="63" customFormat="false" ht="15" hidden="false" customHeight="false" outlineLevel="0" collapsed="false">
      <c r="B63" s="6" t="s">
        <v>100</v>
      </c>
      <c r="I63" s="44" t="n">
        <v>0.007</v>
      </c>
      <c r="J63" s="44" t="n">
        <v>0.0066</v>
      </c>
      <c r="K63" s="44" t="n">
        <v>0.007</v>
      </c>
      <c r="L63" s="44" t="n">
        <v>0.0094</v>
      </c>
      <c r="M63" s="44" t="n">
        <v>0.0107</v>
      </c>
    </row>
    <row r="64" customFormat="false" ht="15" hidden="false" customHeight="false" outlineLevel="0" collapsed="false">
      <c r="B64" s="6" t="s">
        <v>101</v>
      </c>
      <c r="I64" s="44" t="n">
        <v>0.0078</v>
      </c>
      <c r="J64" s="44" t="n">
        <v>0.0115</v>
      </c>
      <c r="K64" s="44" t="n">
        <v>0.0175</v>
      </c>
      <c r="L64" s="44" t="n">
        <v>0.0195</v>
      </c>
      <c r="M64" s="44" t="n">
        <v>0.017</v>
      </c>
    </row>
    <row r="65" customFormat="false" ht="15" hidden="false" customHeight="false" outlineLevel="0" collapsed="false">
      <c r="B65" s="5" t="s">
        <v>102</v>
      </c>
      <c r="D65" s="45" t="n">
        <f aca="false">DRE!D35/DRE!D5</f>
        <v>0.0167110995513362</v>
      </c>
      <c r="E65" s="45" t="n">
        <f aca="false">DRE!E35/DRE!E5</f>
        <v>0.0383526383526384</v>
      </c>
      <c r="F65" s="45" t="n">
        <f aca="false">DRE!F35/DRE!F5</f>
        <v>0.033172713153598</v>
      </c>
      <c r="G65" s="45" t="n">
        <f aca="false">DRE!G35/DRE!G5</f>
        <v>0.0260046016373268</v>
      </c>
      <c r="H65" s="45" t="n">
        <f aca="false">DRE!H35/DRE!H5</f>
        <v>0.0100084091659909</v>
      </c>
      <c r="I65" s="46" t="n">
        <f aca="false">CHOOSE($D$4,I62,I63,I64)</f>
        <v>0.0073</v>
      </c>
      <c r="J65" s="46" t="n">
        <f aca="false">CHOOSE($D$4,J62,J63,J64)</f>
        <v>0.0076</v>
      </c>
      <c r="K65" s="46" t="n">
        <f aca="false">CHOOSE($D$4,K62,K63,K64)</f>
        <v>0.0117</v>
      </c>
      <c r="L65" s="46" t="n">
        <f aca="false">CHOOSE($D$4,L62,L63,L64)</f>
        <v>0.0153</v>
      </c>
      <c r="M65" s="46" t="n">
        <f aca="false">CHOOSE($D$4,M62,M63,M64)</f>
        <v>0.0133</v>
      </c>
    </row>
    <row r="67" customFormat="false" ht="15" hidden="false" customHeight="false" outlineLevel="0" collapsed="false">
      <c r="B67" s="5" t="s">
        <v>113</v>
      </c>
      <c r="C67" s="3" t="s">
        <v>114</v>
      </c>
    </row>
    <row r="68" customFormat="false" ht="15" hidden="false" customHeight="false" outlineLevel="0" collapsed="false">
      <c r="B68" s="6" t="s">
        <v>99</v>
      </c>
      <c r="I68" s="47" t="n">
        <v>52000</v>
      </c>
      <c r="J68" s="47" t="n">
        <v>58000</v>
      </c>
      <c r="K68" s="47" t="n">
        <v>38000</v>
      </c>
      <c r="L68" s="47" t="n">
        <v>30000</v>
      </c>
      <c r="M68" s="47" t="n">
        <v>36000</v>
      </c>
    </row>
    <row r="69" customFormat="false" ht="15" hidden="false" customHeight="false" outlineLevel="0" collapsed="false">
      <c r="B69" s="6" t="s">
        <v>100</v>
      </c>
      <c r="I69" s="47" t="n">
        <v>54000</v>
      </c>
      <c r="J69" s="47" t="n">
        <v>66000</v>
      </c>
      <c r="K69" s="47" t="n">
        <v>60000</v>
      </c>
      <c r="L69" s="47" t="n">
        <v>42000</v>
      </c>
      <c r="M69" s="47" t="n">
        <v>38000</v>
      </c>
    </row>
    <row r="70" customFormat="false" ht="15" hidden="false" customHeight="false" outlineLevel="0" collapsed="false">
      <c r="B70" s="6" t="s">
        <v>101</v>
      </c>
      <c r="I70" s="47" t="n">
        <v>49000</v>
      </c>
      <c r="J70" s="47" t="n">
        <v>40000</v>
      </c>
      <c r="K70" s="47" t="n">
        <v>25000</v>
      </c>
      <c r="L70" s="47" t="n">
        <v>21000</v>
      </c>
      <c r="M70" s="47" t="n">
        <v>25000</v>
      </c>
    </row>
    <row r="71" customFormat="false" ht="15" hidden="false" customHeight="false" outlineLevel="0" collapsed="false">
      <c r="B71" s="5" t="s">
        <v>102</v>
      </c>
      <c r="D71" s="28" t="n">
        <f aca="false">Suporte!D9</f>
        <v>11980</v>
      </c>
      <c r="E71" s="28" t="n">
        <f aca="false">Suporte!E9</f>
        <v>7010</v>
      </c>
      <c r="F71" s="28" t="n">
        <f aca="false">Suporte!F9</f>
        <v>8120</v>
      </c>
      <c r="G71" s="28" t="n">
        <f aca="false">Suporte!G9</f>
        <v>13800</v>
      </c>
      <c r="H71" s="28" t="n">
        <f aca="false">Suporte!H9</f>
        <v>27370</v>
      </c>
      <c r="I71" s="48" t="n">
        <f aca="false">CHOOSE($D$4,I68,I69,I70)</f>
        <v>52000</v>
      </c>
      <c r="J71" s="48" t="n">
        <f aca="false">CHOOSE($D$4,J68,J69,J70)</f>
        <v>58000</v>
      </c>
      <c r="K71" s="48" t="n">
        <f aca="false">CHOOSE($D$4,K68,K69,K70)</f>
        <v>38000</v>
      </c>
      <c r="L71" s="48" t="n">
        <f aca="false">CHOOSE($D$4,L68,L69,L70)</f>
        <v>30000</v>
      </c>
      <c r="M71" s="48" t="n">
        <f aca="false">CHOOSE($D$4,M68,M69,M70)</f>
        <v>36000</v>
      </c>
    </row>
    <row r="73" customFormat="false" ht="15" hidden="false" customHeight="false" outlineLevel="0" collapsed="false">
      <c r="B73" s="5" t="s">
        <v>115</v>
      </c>
      <c r="C73" s="3" t="s">
        <v>98</v>
      </c>
    </row>
    <row r="74" customFormat="false" ht="15" hidden="false" customHeight="false" outlineLevel="0" collapsed="false">
      <c r="B74" s="6" t="s">
        <v>99</v>
      </c>
      <c r="I74" s="8" t="n">
        <v>0.197</v>
      </c>
      <c r="J74" s="8" t="n">
        <v>0.165</v>
      </c>
      <c r="K74" s="8" t="n">
        <v>0.16</v>
      </c>
      <c r="L74" s="8" t="n">
        <v>0.17</v>
      </c>
      <c r="M74" s="8" t="n">
        <v>0.18</v>
      </c>
    </row>
    <row r="75" customFormat="false" ht="15" hidden="false" customHeight="false" outlineLevel="0" collapsed="false">
      <c r="B75" s="6" t="s">
        <v>100</v>
      </c>
      <c r="I75" s="8" t="n">
        <v>0.197</v>
      </c>
      <c r="J75" s="8" t="n">
        <v>0.165</v>
      </c>
      <c r="K75" s="8" t="n">
        <v>0.165</v>
      </c>
      <c r="L75" s="8" t="n">
        <v>0.175</v>
      </c>
      <c r="M75" s="8" t="n">
        <v>0.185</v>
      </c>
    </row>
    <row r="76" customFormat="false" ht="15" hidden="false" customHeight="false" outlineLevel="0" collapsed="false">
      <c r="B76" s="6" t="s">
        <v>101</v>
      </c>
      <c r="I76" s="8" t="n">
        <v>0.197</v>
      </c>
      <c r="J76" s="8" t="n">
        <v>0.168</v>
      </c>
      <c r="K76" s="8" t="n">
        <v>0.175</v>
      </c>
      <c r="L76" s="8" t="n">
        <v>0.185</v>
      </c>
      <c r="M76" s="8" t="n">
        <v>0.19</v>
      </c>
    </row>
    <row r="77" customFormat="false" ht="15" hidden="false" customHeight="false" outlineLevel="0" collapsed="false">
      <c r="B77" s="5" t="s">
        <v>102</v>
      </c>
      <c r="E77" s="14" t="n">
        <f aca="false">Suporte!E12</f>
        <v>0.201198474668604</v>
      </c>
      <c r="F77" s="14" t="n">
        <f aca="false">Suporte!F12</f>
        <v>0.205125500949167</v>
      </c>
      <c r="G77" s="14" t="n">
        <f aca="false">Suporte!G12</f>
        <v>0.210118493547007</v>
      </c>
      <c r="H77" s="14" t="n">
        <f aca="false">Suporte!H12</f>
        <v>0.203970809186521</v>
      </c>
      <c r="I77" s="43" t="n">
        <f aca="false">CHOOSE($D$4,I74,I75,I76)</f>
        <v>0.197</v>
      </c>
      <c r="J77" s="43" t="n">
        <f aca="false">CHOOSE($D$4,J74,J75,J76)</f>
        <v>0.165</v>
      </c>
      <c r="K77" s="43" t="n">
        <f aca="false">CHOOSE($D$4,K74,K75,K76)</f>
        <v>0.16</v>
      </c>
      <c r="L77" s="43" t="n">
        <f aca="false">CHOOSE($D$4,L74,L75,L76)</f>
        <v>0.17</v>
      </c>
      <c r="M77" s="43" t="n">
        <f aca="false">CHOOSE($D$4,M74,M75,M76)</f>
        <v>0.18</v>
      </c>
    </row>
    <row r="79" customFormat="false" ht="15" hidden="false" customHeight="false" outlineLevel="0" collapsed="false">
      <c r="B79" s="5" t="s">
        <v>116</v>
      </c>
      <c r="C79" s="3" t="s">
        <v>98</v>
      </c>
    </row>
    <row r="80" customFormat="false" ht="15" hidden="false" customHeight="false" outlineLevel="0" collapsed="false">
      <c r="B80" s="6" t="s">
        <v>99</v>
      </c>
      <c r="I80" s="8" t="n">
        <v>0.155</v>
      </c>
      <c r="J80" s="8" t="n">
        <v>0.158</v>
      </c>
      <c r="K80" s="8" t="n">
        <v>0.15</v>
      </c>
      <c r="L80" s="8" t="n">
        <v>0.165</v>
      </c>
      <c r="M80" s="8" t="n">
        <v>0.155</v>
      </c>
    </row>
    <row r="81" customFormat="false" ht="15" hidden="false" customHeight="false" outlineLevel="0" collapsed="false">
      <c r="B81" s="6" t="s">
        <v>100</v>
      </c>
      <c r="I81" s="8" t="n">
        <v>0.155</v>
      </c>
      <c r="J81" s="8" t="n">
        <v>0.16</v>
      </c>
      <c r="K81" s="8" t="n">
        <v>0.16</v>
      </c>
      <c r="L81" s="8" t="n">
        <v>0.155</v>
      </c>
      <c r="M81" s="8" t="n">
        <v>0.152</v>
      </c>
    </row>
    <row r="82" customFormat="false" ht="15" hidden="false" customHeight="false" outlineLevel="0" collapsed="false">
      <c r="B82" s="6" t="s">
        <v>101</v>
      </c>
      <c r="I82" s="8" t="n">
        <v>0.155</v>
      </c>
      <c r="J82" s="8" t="n">
        <v>0.152</v>
      </c>
      <c r="K82" s="8" t="n">
        <v>0.185</v>
      </c>
      <c r="L82" s="8" t="n">
        <v>0.23</v>
      </c>
      <c r="M82" s="8" t="n">
        <v>0.17</v>
      </c>
    </row>
    <row r="83" customFormat="false" ht="15" hidden="false" customHeight="false" outlineLevel="0" collapsed="false">
      <c r="B83" s="5" t="s">
        <v>102</v>
      </c>
      <c r="D83" s="14" t="n">
        <f aca="false">DRE!D24</f>
        <v>0.0927802737436005</v>
      </c>
      <c r="E83" s="14" t="n">
        <f aca="false">DRE!E24</f>
        <v>-0.0312831389183457</v>
      </c>
      <c r="F83" s="14" t="n">
        <f aca="false">DRE!F24</f>
        <v>0.363709677419355</v>
      </c>
      <c r="G83" s="14" t="n">
        <f aca="false">DRE!G24</f>
        <v>0.116428423451419</v>
      </c>
      <c r="H83" s="14" t="n">
        <f aca="false">DRE!H24</f>
        <v>0.148097239919335</v>
      </c>
      <c r="I83" s="43" t="n">
        <f aca="false">CHOOSE($D$4,I80,I81,I82)</f>
        <v>0.155</v>
      </c>
      <c r="J83" s="43" t="n">
        <f aca="false">CHOOSE($D$4,J80,J81,J82)</f>
        <v>0.158</v>
      </c>
      <c r="K83" s="43" t="n">
        <f aca="false">CHOOSE($D$4,K80,K81,K82)</f>
        <v>0.15</v>
      </c>
      <c r="L83" s="43" t="n">
        <f aca="false">CHOOSE($D$4,L80,L81,L82)</f>
        <v>0.165</v>
      </c>
      <c r="M83" s="43" t="n">
        <f aca="false">CHOOSE($D$4,M80,M81,M82)</f>
        <v>0.155</v>
      </c>
    </row>
    <row r="85" customFormat="false" ht="15" hidden="false" customHeight="false" outlineLevel="0" collapsed="false">
      <c r="B85" s="5" t="s">
        <v>117</v>
      </c>
      <c r="C85" s="3" t="s">
        <v>118</v>
      </c>
    </row>
    <row r="86" customFormat="false" ht="15" hidden="false" customHeight="false" outlineLevel="0" collapsed="false">
      <c r="B86" s="6" t="s">
        <v>99</v>
      </c>
      <c r="I86" s="49" t="n">
        <v>71</v>
      </c>
      <c r="J86" s="49" t="n">
        <v>64</v>
      </c>
      <c r="K86" s="49" t="n">
        <v>56</v>
      </c>
      <c r="L86" s="49" t="n">
        <v>55</v>
      </c>
      <c r="M86" s="49" t="n">
        <v>60</v>
      </c>
    </row>
    <row r="87" customFormat="false" ht="15" hidden="false" customHeight="false" outlineLevel="0" collapsed="false">
      <c r="B87" s="6" t="s">
        <v>100</v>
      </c>
      <c r="I87" s="49" t="n">
        <v>72</v>
      </c>
      <c r="J87" s="49" t="n">
        <v>68</v>
      </c>
      <c r="K87" s="49" t="n">
        <v>66</v>
      </c>
      <c r="L87" s="49" t="n">
        <v>58</v>
      </c>
      <c r="M87" s="49" t="n">
        <v>56</v>
      </c>
    </row>
    <row r="88" customFormat="false" ht="15" hidden="false" customHeight="false" outlineLevel="0" collapsed="false">
      <c r="B88" s="6" t="s">
        <v>101</v>
      </c>
      <c r="I88" s="49" t="n">
        <v>68</v>
      </c>
      <c r="J88" s="49" t="n">
        <v>60</v>
      </c>
      <c r="K88" s="49" t="n">
        <v>57</v>
      </c>
      <c r="L88" s="49" t="n">
        <v>57</v>
      </c>
      <c r="M88" s="49" t="n">
        <v>61</v>
      </c>
    </row>
    <row r="89" customFormat="false" ht="15" hidden="false" customHeight="false" outlineLevel="0" collapsed="false">
      <c r="B89" s="5" t="s">
        <v>102</v>
      </c>
      <c r="D89" s="50" t="n">
        <f aca="false">Suporte!D17</f>
        <v>60.8768450484427</v>
      </c>
      <c r="E89" s="50" t="n">
        <f aca="false">Suporte!E17</f>
        <v>57.3806306306306</v>
      </c>
      <c r="F89" s="50" t="n">
        <f aca="false">Suporte!F17</f>
        <v>96.1520847437378</v>
      </c>
      <c r="G89" s="50" t="n">
        <f aca="false">Suporte!G17</f>
        <v>90.473674353898</v>
      </c>
      <c r="H89" s="50" t="n">
        <f aca="false">Suporte!H17</f>
        <v>99.197412679821</v>
      </c>
      <c r="I89" s="51" t="n">
        <f aca="false">CHOOSE($D$4,I86,I87,I88)</f>
        <v>71</v>
      </c>
      <c r="J89" s="51" t="n">
        <f aca="false">CHOOSE($D$4,J86,J87,J88)</f>
        <v>64</v>
      </c>
      <c r="K89" s="51" t="n">
        <f aca="false">CHOOSE($D$4,K86,K87,K88)</f>
        <v>56</v>
      </c>
      <c r="L89" s="51" t="n">
        <f aca="false">CHOOSE($D$4,L86,L87,L88)</f>
        <v>55</v>
      </c>
      <c r="M89" s="51" t="n">
        <f aca="false">CHOOSE($D$4,M86,M87,M88)</f>
        <v>60</v>
      </c>
    </row>
    <row r="91" customFormat="false" ht="15" hidden="false" customHeight="false" outlineLevel="0" collapsed="false">
      <c r="B91" s="5" t="s">
        <v>119</v>
      </c>
      <c r="C91" s="3" t="s">
        <v>118</v>
      </c>
    </row>
    <row r="92" customFormat="false" ht="15" hidden="false" customHeight="false" outlineLevel="0" collapsed="false">
      <c r="B92" s="6" t="s">
        <v>99</v>
      </c>
      <c r="I92" s="49" t="n">
        <v>131</v>
      </c>
      <c r="J92" s="49" t="n">
        <v>128</v>
      </c>
      <c r="K92" s="49" t="n">
        <v>158</v>
      </c>
      <c r="L92" s="49" t="n">
        <v>165</v>
      </c>
      <c r="M92" s="49" t="n">
        <v>142</v>
      </c>
    </row>
    <row r="93" customFormat="false" ht="15" hidden="false" customHeight="false" outlineLevel="0" collapsed="false">
      <c r="B93" s="6" t="s">
        <v>100</v>
      </c>
      <c r="I93" s="49" t="n">
        <v>129</v>
      </c>
      <c r="J93" s="49" t="n">
        <v>124</v>
      </c>
      <c r="K93" s="49" t="n">
        <v>130</v>
      </c>
      <c r="L93" s="49" t="n">
        <v>150</v>
      </c>
      <c r="M93" s="49" t="n">
        <v>150</v>
      </c>
    </row>
    <row r="94" customFormat="false" ht="15" hidden="false" customHeight="false" outlineLevel="0" collapsed="false">
      <c r="B94" s="6" t="s">
        <v>101</v>
      </c>
      <c r="I94" s="49" t="n">
        <v>136</v>
      </c>
      <c r="J94" s="49" t="n">
        <v>160</v>
      </c>
      <c r="K94" s="49" t="n">
        <v>175</v>
      </c>
      <c r="L94" s="49" t="n">
        <v>160</v>
      </c>
      <c r="M94" s="49" t="n">
        <v>140</v>
      </c>
    </row>
    <row r="95" customFormat="false" ht="15" hidden="false" customHeight="false" outlineLevel="0" collapsed="false">
      <c r="B95" s="5" t="s">
        <v>102</v>
      </c>
      <c r="D95" s="50" t="n">
        <f aca="false">Suporte!D18</f>
        <v>144.246441281139</v>
      </c>
      <c r="E95" s="50" t="n">
        <f aca="false">Suporte!E18</f>
        <v>180.541106393017</v>
      </c>
      <c r="F95" s="50" t="n">
        <f aca="false">Suporte!F18</f>
        <v>166.138834752282</v>
      </c>
      <c r="G95" s="50" t="n">
        <f aca="false">Suporte!G18</f>
        <v>135.506554099089</v>
      </c>
      <c r="H95" s="50" t="n">
        <f aca="false">Suporte!H18</f>
        <v>147.398380314593</v>
      </c>
      <c r="I95" s="51" t="n">
        <f aca="false">CHOOSE($D$4,I92,I93,I94)</f>
        <v>131</v>
      </c>
      <c r="J95" s="51" t="n">
        <f aca="false">CHOOSE($D$4,J92,J93,J94)</f>
        <v>128</v>
      </c>
      <c r="K95" s="51" t="n">
        <f aca="false">CHOOSE($D$4,K92,K93,K94)</f>
        <v>158</v>
      </c>
      <c r="L95" s="51" t="n">
        <f aca="false">CHOOSE($D$4,L92,L93,L94)</f>
        <v>165</v>
      </c>
      <c r="M95" s="51" t="n">
        <f aca="false">CHOOSE($D$4,M92,M93,M94)</f>
        <v>142</v>
      </c>
    </row>
    <row r="97" customFormat="false" ht="15" hidden="false" customHeight="false" outlineLevel="0" collapsed="false">
      <c r="B97" s="5" t="s">
        <v>120</v>
      </c>
      <c r="C97" s="3" t="s">
        <v>118</v>
      </c>
    </row>
    <row r="98" customFormat="false" ht="15" hidden="false" customHeight="false" outlineLevel="0" collapsed="false">
      <c r="B98" s="6" t="s">
        <v>99</v>
      </c>
      <c r="I98" s="49" t="n">
        <v>284</v>
      </c>
      <c r="J98" s="49" t="n">
        <v>250</v>
      </c>
      <c r="K98" s="49" t="n">
        <v>158</v>
      </c>
      <c r="L98" s="49" t="n">
        <v>138</v>
      </c>
      <c r="M98" s="49" t="n">
        <v>150</v>
      </c>
    </row>
    <row r="99" customFormat="false" ht="15" hidden="false" customHeight="false" outlineLevel="0" collapsed="false">
      <c r="B99" s="6" t="s">
        <v>100</v>
      </c>
      <c r="I99" s="49" t="n">
        <v>288</v>
      </c>
      <c r="J99" s="49" t="n">
        <v>262</v>
      </c>
      <c r="K99" s="49" t="n">
        <v>232</v>
      </c>
      <c r="L99" s="49" t="n">
        <v>165</v>
      </c>
      <c r="M99" s="49" t="n">
        <v>140</v>
      </c>
    </row>
    <row r="100" customFormat="false" ht="15" hidden="false" customHeight="false" outlineLevel="0" collapsed="false">
      <c r="B100" s="6" t="s">
        <v>101</v>
      </c>
      <c r="I100" s="49" t="n">
        <v>262</v>
      </c>
      <c r="J100" s="49" t="n">
        <v>165</v>
      </c>
      <c r="K100" s="49" t="n">
        <v>112</v>
      </c>
      <c r="L100" s="49" t="n">
        <v>102</v>
      </c>
      <c r="M100" s="49" t="n">
        <v>112</v>
      </c>
    </row>
    <row r="101" customFormat="false" ht="15" hidden="false" customHeight="false" outlineLevel="0" collapsed="false">
      <c r="B101" s="5" t="s">
        <v>102</v>
      </c>
      <c r="D101" s="50" t="n">
        <f aca="false">Suporte!D19</f>
        <v>131.841637010676</v>
      </c>
      <c r="E101" s="50" t="n">
        <f aca="false">Suporte!E19</f>
        <v>85.2011087520642</v>
      </c>
      <c r="F101" s="50" t="n">
        <f aca="false">Suporte!F19</f>
        <v>136.636321674018</v>
      </c>
      <c r="G101" s="50" t="n">
        <f aca="false">Suporte!G19</f>
        <v>156.493445900911</v>
      </c>
      <c r="H101" s="50" t="n">
        <f aca="false">Suporte!H19</f>
        <v>321.243770440741</v>
      </c>
      <c r="I101" s="51" t="n">
        <f aca="false">CHOOSE($D$4,I98,I99,I100)</f>
        <v>284</v>
      </c>
      <c r="J101" s="51" t="n">
        <f aca="false">CHOOSE($D$4,J98,J99,J100)</f>
        <v>250</v>
      </c>
      <c r="K101" s="51" t="n">
        <f aca="false">CHOOSE($D$4,K98,K99,K100)</f>
        <v>158</v>
      </c>
      <c r="L101" s="51" t="n">
        <f aca="false">CHOOSE($D$4,L98,L99,L100)</f>
        <v>138</v>
      </c>
      <c r="M101" s="51" t="n">
        <f aca="false">CHOOSE($D$4,M98,M99,M100)</f>
        <v>150</v>
      </c>
    </row>
    <row r="103" customFormat="false" ht="15" hidden="false" customHeight="false" outlineLevel="0" collapsed="false">
      <c r="B103" s="5" t="s">
        <v>121</v>
      </c>
      <c r="C103" s="3" t="s">
        <v>114</v>
      </c>
    </row>
    <row r="104" customFormat="false" ht="15" hidden="false" customHeight="false" outlineLevel="0" collapsed="false">
      <c r="B104" s="6" t="s">
        <v>99</v>
      </c>
      <c r="I104" s="47" t="n">
        <v>80000</v>
      </c>
      <c r="J104" s="47" t="n">
        <v>50000</v>
      </c>
      <c r="K104" s="47" t="n">
        <v>45000</v>
      </c>
      <c r="L104" s="47" t="n">
        <v>45000</v>
      </c>
      <c r="M104" s="47" t="n">
        <v>45000</v>
      </c>
    </row>
    <row r="105" customFormat="false" ht="15" hidden="false" customHeight="false" outlineLevel="0" collapsed="false">
      <c r="B105" s="6" t="s">
        <v>100</v>
      </c>
      <c r="I105" s="47" t="n">
        <v>90000</v>
      </c>
      <c r="J105" s="47" t="n">
        <v>60000</v>
      </c>
      <c r="K105" s="47" t="n">
        <v>60000</v>
      </c>
      <c r="L105" s="47" t="n">
        <v>50000</v>
      </c>
      <c r="M105" s="47" t="n">
        <v>50000</v>
      </c>
    </row>
    <row r="106" customFormat="false" ht="15" hidden="false" customHeight="false" outlineLevel="0" collapsed="false">
      <c r="B106" s="6" t="s">
        <v>101</v>
      </c>
      <c r="I106" s="47" t="n">
        <v>70000</v>
      </c>
      <c r="J106" s="47" t="n">
        <v>50000</v>
      </c>
      <c r="K106" s="47" t="n">
        <v>40000</v>
      </c>
      <c r="L106" s="47" t="n">
        <v>40000</v>
      </c>
      <c r="M106" s="47" t="n">
        <v>40000</v>
      </c>
    </row>
    <row r="107" customFormat="false" ht="15" hidden="false" customHeight="false" outlineLevel="0" collapsed="false">
      <c r="B107" s="5" t="s">
        <v>102</v>
      </c>
      <c r="C107" s="3" t="s">
        <v>122</v>
      </c>
      <c r="D107" s="28" t="n">
        <f aca="false">BP!D5</f>
        <v>10978</v>
      </c>
      <c r="E107" s="28" t="n">
        <f aca="false">BP!E5</f>
        <v>10438</v>
      </c>
      <c r="F107" s="28" t="n">
        <f aca="false">BP!F5</f>
        <v>9152</v>
      </c>
      <c r="G107" s="28" t="n">
        <f aca="false">BP!G5</f>
        <v>11936</v>
      </c>
      <c r="H107" s="28" t="n">
        <f aca="false">BP!H5</f>
        <v>73453</v>
      </c>
      <c r="I107" s="48" t="n">
        <f aca="false">CHOOSE($D$4,I104,I105,I106)</f>
        <v>80000</v>
      </c>
      <c r="J107" s="48" t="n">
        <f aca="false">CHOOSE($D$4,J104,J105,J106)</f>
        <v>50000</v>
      </c>
      <c r="K107" s="48" t="n">
        <f aca="false">CHOOSE($D$4,K104,K105,K106)</f>
        <v>45000</v>
      </c>
      <c r="L107" s="48" t="n">
        <f aca="false">CHOOSE($D$4,L104,L105,L106)</f>
        <v>45000</v>
      </c>
      <c r="M107" s="48" t="n">
        <f aca="false">CHOOSE($D$4,M104,M105,M106)</f>
        <v>45000</v>
      </c>
    </row>
    <row r="109" customFormat="false" ht="15" hidden="false" customHeight="false" outlineLevel="0" collapsed="false">
      <c r="B109" s="5" t="s">
        <v>123</v>
      </c>
      <c r="C109" s="3" t="s">
        <v>124</v>
      </c>
    </row>
    <row r="110" customFormat="false" ht="15" hidden="false" customHeight="false" outlineLevel="0" collapsed="false">
      <c r="B110" s="6" t="s">
        <v>99</v>
      </c>
      <c r="I110" s="52" t="n">
        <v>1100</v>
      </c>
      <c r="J110" s="52" t="n">
        <v>1150</v>
      </c>
      <c r="K110" s="52" t="n">
        <v>950</v>
      </c>
      <c r="L110" s="52" t="n">
        <v>800</v>
      </c>
      <c r="M110" s="52" t="n">
        <v>900</v>
      </c>
    </row>
    <row r="111" customFormat="false" ht="15" hidden="false" customHeight="false" outlineLevel="0" collapsed="false">
      <c r="B111" s="6" t="s">
        <v>100</v>
      </c>
      <c r="I111" s="52" t="n">
        <v>1200</v>
      </c>
      <c r="J111" s="52" t="n">
        <v>1500</v>
      </c>
      <c r="K111" s="52" t="n">
        <v>1600</v>
      </c>
      <c r="L111" s="52" t="n">
        <v>1300</v>
      </c>
      <c r="M111" s="52" t="n">
        <v>1200</v>
      </c>
    </row>
    <row r="112" customFormat="false" ht="15" hidden="false" customHeight="false" outlineLevel="0" collapsed="false">
      <c r="B112" s="6" t="s">
        <v>101</v>
      </c>
      <c r="I112" s="52" t="n">
        <v>950</v>
      </c>
      <c r="J112" s="52" t="n">
        <v>650</v>
      </c>
      <c r="K112" s="52" t="n">
        <v>450</v>
      </c>
      <c r="L112" s="52" t="n">
        <v>400</v>
      </c>
      <c r="M112" s="52" t="n">
        <v>480</v>
      </c>
    </row>
    <row r="113" customFormat="false" ht="15" hidden="false" customHeight="false" outlineLevel="0" collapsed="false">
      <c r="B113" s="5" t="s">
        <v>102</v>
      </c>
      <c r="I113" s="53" t="n">
        <f aca="false">CHOOSE($D$4,I110,I111,I112)</f>
        <v>1100</v>
      </c>
      <c r="J113" s="53" t="n">
        <f aca="false">CHOOSE($D$4,J110,J111,J112)</f>
        <v>1150</v>
      </c>
      <c r="K113" s="53" t="n">
        <f aca="false">CHOOSE($D$4,K110,K111,K112)</f>
        <v>950</v>
      </c>
      <c r="L113" s="53" t="n">
        <f aca="false">CHOOSE($D$4,L110,L111,L112)</f>
        <v>800</v>
      </c>
      <c r="M113" s="53" t="n">
        <f aca="false">CHOOSE($D$4,M110,M111,M112)</f>
        <v>900</v>
      </c>
    </row>
    <row r="115" customFormat="false" ht="15" hidden="false" customHeight="false" outlineLevel="0" collapsed="false">
      <c r="B115" s="5" t="s">
        <v>125</v>
      </c>
      <c r="C115" s="3" t="s">
        <v>98</v>
      </c>
    </row>
    <row r="116" customFormat="false" ht="15" hidden="false" customHeight="false" outlineLevel="0" collapsed="false">
      <c r="B116" s="6" t="s">
        <v>99</v>
      </c>
      <c r="I116" s="8" t="n">
        <v>0.32</v>
      </c>
      <c r="J116" s="8" t="n">
        <v>0.29</v>
      </c>
      <c r="K116" s="8" t="n">
        <v>0.18</v>
      </c>
      <c r="L116" s="8" t="n">
        <v>0.06</v>
      </c>
      <c r="M116" s="8" t="n">
        <v>0.05</v>
      </c>
    </row>
    <row r="117" customFormat="false" ht="15" hidden="false" customHeight="false" outlineLevel="0" collapsed="false">
      <c r="B117" s="6" t="s">
        <v>100</v>
      </c>
      <c r="I117" s="8" t="n">
        <v>0.32</v>
      </c>
      <c r="J117" s="8" t="n">
        <v>0.36</v>
      </c>
      <c r="K117" s="8" t="n">
        <v>0.22</v>
      </c>
      <c r="L117" s="8" t="n">
        <v>0.09</v>
      </c>
      <c r="M117" s="8" t="n">
        <v>0.05</v>
      </c>
    </row>
    <row r="118" customFormat="false" ht="15" hidden="false" customHeight="false" outlineLevel="0" collapsed="false">
      <c r="B118" s="6" t="s">
        <v>101</v>
      </c>
      <c r="I118" s="8" t="n">
        <v>0.32</v>
      </c>
      <c r="J118" s="8" t="n">
        <v>0.07</v>
      </c>
      <c r="K118" s="8" t="n">
        <v>0</v>
      </c>
      <c r="L118" s="8" t="n">
        <v>0</v>
      </c>
      <c r="M118" s="8" t="n">
        <v>0.03</v>
      </c>
    </row>
    <row r="119" customFormat="false" ht="15" hidden="false" customHeight="false" outlineLevel="0" collapsed="false">
      <c r="B119" s="5" t="s">
        <v>102</v>
      </c>
      <c r="E119" s="14" t="n">
        <f aca="false">DRE!E42/DRE!D42-1</f>
        <v>0.108433734939759</v>
      </c>
      <c r="F119" s="14" t="n">
        <f aca="false">DRE!F42/DRE!E42-1</f>
        <v>0</v>
      </c>
      <c r="G119" s="14" t="n">
        <f aca="false">DRE!G42/DRE!F42-1</f>
        <v>0</v>
      </c>
      <c r="H119" s="14" t="n">
        <f aca="false">DRE!H42/DRE!G42-1</f>
        <v>0.152173913043478</v>
      </c>
      <c r="I119" s="43" t="n">
        <f aca="false">CHOOSE($D$4,I116,I117,I118)</f>
        <v>0.32</v>
      </c>
      <c r="J119" s="43" t="n">
        <f aca="false">CHOOSE($D$4,J116,J117,J118)</f>
        <v>0.29</v>
      </c>
      <c r="K119" s="43" t="n">
        <f aca="false">CHOOSE($D$4,K116,K117,K118)</f>
        <v>0.18</v>
      </c>
      <c r="L119" s="43" t="n">
        <f aca="false">CHOOSE($D$4,L116,L117,L118)</f>
        <v>0.06</v>
      </c>
      <c r="M119" s="43" t="n">
        <f aca="false">CHOOSE($D$4,M116,M117,M118)</f>
        <v>0.05</v>
      </c>
    </row>
    <row r="121" customFormat="false" ht="15" hidden="false" customHeight="false" outlineLevel="0" collapsed="false">
      <c r="B121" s="5" t="s">
        <v>126</v>
      </c>
      <c r="C121" s="3" t="s">
        <v>98</v>
      </c>
    </row>
    <row r="122" customFormat="false" ht="15" hidden="false" customHeight="false" outlineLevel="0" collapsed="false">
      <c r="B122" s="6" t="s">
        <v>99</v>
      </c>
      <c r="I122" s="44" t="n">
        <v>0.043</v>
      </c>
      <c r="J122" s="44" t="n">
        <v>0.041</v>
      </c>
      <c r="K122" s="44" t="n">
        <v>0.038</v>
      </c>
      <c r="L122" s="44" t="n">
        <v>0.036</v>
      </c>
      <c r="M122" s="44" t="n">
        <v>0.036</v>
      </c>
    </row>
    <row r="123" customFormat="false" ht="15" hidden="false" customHeight="false" outlineLevel="0" collapsed="false">
      <c r="B123" s="6" t="s">
        <v>100</v>
      </c>
      <c r="I123" s="44" t="n">
        <v>0.043</v>
      </c>
      <c r="J123" s="44" t="n">
        <v>0.042</v>
      </c>
      <c r="K123" s="44" t="n">
        <v>0.04</v>
      </c>
      <c r="L123" s="44" t="n">
        <v>0.037</v>
      </c>
      <c r="M123" s="44" t="n">
        <v>0.036</v>
      </c>
    </row>
    <row r="124" customFormat="false" ht="15" hidden="false" customHeight="false" outlineLevel="0" collapsed="false">
      <c r="B124" s="6" t="s">
        <v>101</v>
      </c>
      <c r="I124" s="44" t="n">
        <v>0.042</v>
      </c>
      <c r="J124" s="44" t="n">
        <v>0.037</v>
      </c>
      <c r="K124" s="44" t="n">
        <v>0.032</v>
      </c>
      <c r="L124" s="44" t="n">
        <v>0.029</v>
      </c>
      <c r="M124" s="44" t="n">
        <v>0.03</v>
      </c>
    </row>
    <row r="125" customFormat="false" ht="15" hidden="false" customHeight="false" outlineLevel="0" collapsed="false">
      <c r="B125" s="5" t="s">
        <v>102</v>
      </c>
      <c r="E125" s="45" t="n">
        <f aca="false">DRE!E18/BP!D5</f>
        <v>0.0426307159774094</v>
      </c>
      <c r="F125" s="45" t="n">
        <f aca="false">DRE!F18/BP!E5</f>
        <v>0.0506802069361947</v>
      </c>
      <c r="G125" s="45" t="n">
        <f aca="false">DRE!G18/BP!F5</f>
        <v>0.0541958041958042</v>
      </c>
      <c r="H125" s="45" t="n">
        <f aca="false">DRE!H18/BP!G5</f>
        <v>0.0908176943699732</v>
      </c>
      <c r="I125" s="46" t="n">
        <f aca="false">CHOOSE($D$4,I122,I123,I124)</f>
        <v>0.043</v>
      </c>
      <c r="J125" s="46" t="n">
        <f aca="false">CHOOSE($D$4,J122,J123,J124)</f>
        <v>0.041</v>
      </c>
      <c r="K125" s="46" t="n">
        <f aca="false">CHOOSE($D$4,K122,K123,K124)</f>
        <v>0.038</v>
      </c>
      <c r="L125" s="46" t="n">
        <f aca="false">CHOOSE($D$4,L122,L123,L124)</f>
        <v>0.036</v>
      </c>
      <c r="M125" s="46" t="n">
        <f aca="false">CHOOSE($D$4,M122,M123,M124)</f>
        <v>0.036</v>
      </c>
    </row>
    <row r="127" customFormat="false" ht="15" hidden="false" customHeight="false" outlineLevel="0" collapsed="false">
      <c r="B127" s="5" t="s">
        <v>127</v>
      </c>
      <c r="C127" s="3" t="s">
        <v>98</v>
      </c>
    </row>
    <row r="128" customFormat="false" ht="15" hidden="false" customHeight="false" outlineLevel="0" collapsed="false">
      <c r="B128" s="6" t="s">
        <v>99</v>
      </c>
      <c r="I128" s="44" t="n">
        <v>0.045</v>
      </c>
      <c r="J128" s="44" t="n">
        <v>0.045</v>
      </c>
      <c r="K128" s="44" t="n">
        <v>0.045</v>
      </c>
      <c r="L128" s="44" t="n">
        <v>0.045</v>
      </c>
      <c r="M128" s="44" t="n">
        <v>0.045</v>
      </c>
    </row>
    <row r="129" customFormat="false" ht="15" hidden="false" customHeight="false" outlineLevel="0" collapsed="false">
      <c r="B129" s="6" t="s">
        <v>100</v>
      </c>
      <c r="I129" s="44" t="n">
        <v>0.045</v>
      </c>
      <c r="J129" s="44" t="n">
        <v>0.045</v>
      </c>
      <c r="K129" s="44" t="n">
        <v>0.045</v>
      </c>
      <c r="L129" s="44" t="n">
        <v>0.045</v>
      </c>
      <c r="M129" s="44" t="n">
        <v>0.045</v>
      </c>
    </row>
    <row r="130" customFormat="false" ht="15" hidden="false" customHeight="false" outlineLevel="0" collapsed="false">
      <c r="B130" s="6" t="s">
        <v>101</v>
      </c>
      <c r="I130" s="44" t="n">
        <v>0.045</v>
      </c>
      <c r="J130" s="44" t="n">
        <v>0.045</v>
      </c>
      <c r="K130" s="44" t="n">
        <v>0.045</v>
      </c>
      <c r="L130" s="44" t="n">
        <v>0.045</v>
      </c>
      <c r="M130" s="44" t="n">
        <v>0.045</v>
      </c>
    </row>
    <row r="131" customFormat="false" ht="15" hidden="false" customHeight="false" outlineLevel="0" collapsed="false">
      <c r="B131" s="5" t="s">
        <v>102</v>
      </c>
      <c r="E131" s="45" t="n">
        <f aca="false">-DRE!E19/((BP!E19+BP!E22+BP!D19+BP!D22)/2)</f>
        <v>0.0383474995058312</v>
      </c>
      <c r="F131" s="45" t="n">
        <f aca="false">-DRE!F19/((BP!F19+BP!F22+BP!E19+BP!E22)/2)</f>
        <v>0.0420548508998391</v>
      </c>
      <c r="G131" s="45" t="n">
        <f aca="false">-DRE!G19/((BP!G19+BP!G22+BP!F19+BP!F22)/2)</f>
        <v>0.0341030957317509</v>
      </c>
      <c r="H131" s="45" t="n">
        <f aca="false">-DRE!H19/((BP!H19+BP!H22+BP!G19+BP!G22)/2)</f>
        <v>0.0107309171897145</v>
      </c>
      <c r="I131" s="46" t="n">
        <f aca="false">CHOOSE($D$4,I128,I129,I130)</f>
        <v>0.045</v>
      </c>
      <c r="J131" s="46" t="n">
        <f aca="false">CHOOSE($D$4,J128,J129,J130)</f>
        <v>0.045</v>
      </c>
      <c r="K131" s="46" t="n">
        <f aca="false">CHOOSE($D$4,K128,K129,K130)</f>
        <v>0.045</v>
      </c>
      <c r="L131" s="46" t="n">
        <f aca="false">CHOOSE($D$4,L128,L129,L130)</f>
        <v>0.045</v>
      </c>
      <c r="M131" s="46" t="n">
        <f aca="false">CHOOSE($D$4,M128,M129,M130)</f>
        <v>0.045</v>
      </c>
    </row>
    <row r="133" customFormat="false" ht="15" hidden="false" customHeight="false" outlineLevel="0" collapsed="false">
      <c r="B133" s="5" t="s">
        <v>128</v>
      </c>
      <c r="C133" s="3" t="s">
        <v>129</v>
      </c>
    </row>
    <row r="134" customFormat="false" ht="15" hidden="false" customHeight="false" outlineLevel="0" collapsed="false">
      <c r="B134" s="6" t="s">
        <v>99</v>
      </c>
      <c r="I134" s="49" t="n">
        <v>7</v>
      </c>
      <c r="J134" s="49" t="n">
        <v>7</v>
      </c>
      <c r="K134" s="49" t="n">
        <v>7</v>
      </c>
      <c r="L134" s="49" t="n">
        <v>7</v>
      </c>
      <c r="M134" s="49" t="n">
        <v>7</v>
      </c>
    </row>
    <row r="135" customFormat="false" ht="15" hidden="false" customHeight="false" outlineLevel="0" collapsed="false">
      <c r="B135" s="6" t="s">
        <v>100</v>
      </c>
      <c r="I135" s="49" t="n">
        <v>7</v>
      </c>
      <c r="J135" s="49" t="n">
        <v>7</v>
      </c>
      <c r="K135" s="49" t="n">
        <v>7</v>
      </c>
      <c r="L135" s="49" t="n">
        <v>7</v>
      </c>
      <c r="M135" s="49" t="n">
        <v>7</v>
      </c>
    </row>
    <row r="136" customFormat="false" ht="15" hidden="false" customHeight="false" outlineLevel="0" collapsed="false">
      <c r="B136" s="6" t="s">
        <v>101</v>
      </c>
      <c r="I136" s="49" t="n">
        <v>7</v>
      </c>
      <c r="J136" s="49" t="n">
        <v>7</v>
      </c>
      <c r="K136" s="49" t="n">
        <v>7</v>
      </c>
      <c r="L136" s="49" t="n">
        <v>7</v>
      </c>
      <c r="M136" s="49" t="n">
        <v>7</v>
      </c>
    </row>
    <row r="137" customFormat="false" ht="15" hidden="false" customHeight="false" outlineLevel="0" collapsed="false">
      <c r="B137" s="5" t="s">
        <v>102</v>
      </c>
      <c r="C137" s="3" t="s">
        <v>130</v>
      </c>
      <c r="E137" s="50" t="n">
        <f aca="false">DRE!E30-DRE!D30</f>
        <v>-29</v>
      </c>
      <c r="F137" s="50" t="n">
        <f aca="false">DRE!F30-DRE!E30</f>
        <v>25</v>
      </c>
      <c r="G137" s="50" t="n">
        <f aca="false">DRE!G30-DRE!F30</f>
        <v>7</v>
      </c>
      <c r="H137" s="50" t="n">
        <f aca="false">DRE!H30-DRE!G30</f>
        <v>18</v>
      </c>
      <c r="I137" s="51" t="n">
        <f aca="false">CHOOSE($D$4,I134,I135,I136)</f>
        <v>7</v>
      </c>
      <c r="J137" s="51" t="n">
        <f aca="false">CHOOSE($D$4,J134,J135,J136)</f>
        <v>7</v>
      </c>
      <c r="K137" s="51" t="n">
        <f aca="false">CHOOSE($D$4,K134,K135,K136)</f>
        <v>7</v>
      </c>
      <c r="L137" s="51" t="n">
        <f aca="false">CHOOSE($D$4,L134,L135,L136)</f>
        <v>7</v>
      </c>
      <c r="M137" s="51" t="n">
        <f aca="false">CHOOSE($D$4,M134,M135,M136)</f>
        <v>7</v>
      </c>
    </row>
    <row r="139" customFormat="false" ht="15" hidden="false" customHeight="false" outlineLevel="0" collapsed="false">
      <c r="B139" s="5" t="s">
        <v>131</v>
      </c>
      <c r="C139" s="3" t="s">
        <v>98</v>
      </c>
    </row>
    <row r="140" customFormat="false" ht="15" hidden="false" customHeight="false" outlineLevel="0" collapsed="false">
      <c r="B140" s="6" t="s">
        <v>99</v>
      </c>
      <c r="I140" s="8" t="n">
        <v>0.2</v>
      </c>
      <c r="J140" s="8" t="n">
        <v>0.3</v>
      </c>
      <c r="K140" s="8" t="n">
        <v>0.3</v>
      </c>
      <c r="L140" s="8" t="n">
        <v>0.2</v>
      </c>
      <c r="M140" s="8" t="n">
        <v>0</v>
      </c>
    </row>
    <row r="141" customFormat="false" ht="15" hidden="false" customHeight="false" outlineLevel="0" collapsed="false">
      <c r="B141" s="6" t="s">
        <v>100</v>
      </c>
      <c r="I141" s="8" t="n">
        <v>0.2</v>
      </c>
      <c r="J141" s="8" t="n">
        <v>0.3</v>
      </c>
      <c r="K141" s="8" t="n">
        <v>0.3</v>
      </c>
      <c r="L141" s="8" t="n">
        <v>0.2</v>
      </c>
      <c r="M141" s="8" t="n">
        <v>0</v>
      </c>
    </row>
    <row r="142" customFormat="false" ht="15" hidden="false" customHeight="false" outlineLevel="0" collapsed="false">
      <c r="B142" s="6" t="s">
        <v>101</v>
      </c>
      <c r="I142" s="8" t="n">
        <v>0.2</v>
      </c>
      <c r="J142" s="8" t="n">
        <v>0.3</v>
      </c>
      <c r="K142" s="8" t="n">
        <v>0.3</v>
      </c>
      <c r="L142" s="8" t="n">
        <v>0.2</v>
      </c>
      <c r="M142" s="8" t="n">
        <v>0</v>
      </c>
    </row>
    <row r="143" customFormat="false" ht="15" hidden="false" customHeight="false" outlineLevel="0" collapsed="false">
      <c r="B143" s="5" t="s">
        <v>102</v>
      </c>
      <c r="I143" s="43" t="n">
        <f aca="false">CHOOSE($D$4,I140,I141,I142)</f>
        <v>0.2</v>
      </c>
      <c r="J143" s="43" t="n">
        <f aca="false">CHOOSE($D$4,J140,J141,J142)</f>
        <v>0.3</v>
      </c>
      <c r="K143" s="43" t="n">
        <f aca="false">CHOOSE($D$4,K140,K141,K142)</f>
        <v>0.3</v>
      </c>
      <c r="L143" s="43" t="n">
        <f aca="false">CHOOSE($D$4,L140,L141,L142)</f>
        <v>0.2</v>
      </c>
      <c r="M143" s="43" t="n">
        <f aca="false">CHOOSE($D$4,M140,M141,M142)</f>
        <v>0</v>
      </c>
    </row>
    <row r="145" customFormat="false" ht="15" hidden="false" customHeight="false" outlineLevel="0" collapsed="false">
      <c r="B145" s="4" t="s">
        <v>132</v>
      </c>
    </row>
    <row r="146" customFormat="false" ht="15" hidden="false" customHeight="false" outlineLevel="0" collapsed="false">
      <c r="B146" s="5" t="s">
        <v>133</v>
      </c>
      <c r="C146" s="3" t="s">
        <v>98</v>
      </c>
    </row>
    <row r="147" customFormat="false" ht="15" hidden="false" customHeight="false" outlineLevel="0" collapsed="false">
      <c r="B147" s="6" t="s">
        <v>99</v>
      </c>
      <c r="I147" s="8" t="n">
        <v>0.08</v>
      </c>
    </row>
    <row r="148" customFormat="false" ht="15" hidden="false" customHeight="false" outlineLevel="0" collapsed="false">
      <c r="B148" s="6" t="s">
        <v>100</v>
      </c>
      <c r="I148" s="8" t="n">
        <v>0.1</v>
      </c>
    </row>
    <row r="149" customFormat="false" ht="15" hidden="false" customHeight="false" outlineLevel="0" collapsed="false">
      <c r="B149" s="6" t="s">
        <v>101</v>
      </c>
      <c r="I149" s="8" t="n">
        <v>0.025</v>
      </c>
    </row>
    <row r="150" customFormat="false" ht="15" hidden="false" customHeight="false" outlineLevel="0" collapsed="false">
      <c r="B150" s="5" t="s">
        <v>102</v>
      </c>
      <c r="I150" s="43" t="n">
        <f aca="false">CHOOSE($D$4,I147,I148,I149)</f>
        <v>0.08</v>
      </c>
    </row>
    <row r="151" customFormat="false" ht="15" hidden="false" customHeight="false" outlineLevel="0" collapsed="false">
      <c r="B151" s="5" t="s">
        <v>134</v>
      </c>
      <c r="C151" s="3" t="s">
        <v>98</v>
      </c>
    </row>
    <row r="152" customFormat="false" ht="15" hidden="false" customHeight="false" outlineLevel="0" collapsed="false">
      <c r="B152" s="6" t="s">
        <v>99</v>
      </c>
      <c r="I152" s="8" t="n">
        <v>0.07</v>
      </c>
    </row>
    <row r="153" customFormat="false" ht="15" hidden="false" customHeight="false" outlineLevel="0" collapsed="false">
      <c r="B153" s="6" t="s">
        <v>100</v>
      </c>
      <c r="I153" s="8" t="n">
        <v>0.09</v>
      </c>
    </row>
    <row r="154" customFormat="false" ht="15" hidden="false" customHeight="false" outlineLevel="0" collapsed="false">
      <c r="B154" s="6" t="s">
        <v>101</v>
      </c>
      <c r="I154" s="8" t="n">
        <v>-0.015</v>
      </c>
    </row>
    <row r="155" customFormat="false" ht="15" hidden="false" customHeight="false" outlineLevel="0" collapsed="false">
      <c r="B155" s="5" t="s">
        <v>102</v>
      </c>
      <c r="I155" s="43" t="n">
        <f aca="false">CHOOSE($D$4,I152,I153,I154)</f>
        <v>0.07</v>
      </c>
    </row>
    <row r="157" customFormat="false" ht="15" hidden="false" customHeight="false" outlineLevel="0" collapsed="false">
      <c r="B157" s="4" t="s">
        <v>135</v>
      </c>
    </row>
    <row r="158" customFormat="false" ht="15" hidden="false" customHeight="false" outlineLevel="0" collapsed="false">
      <c r="B158" s="5" t="s">
        <v>136</v>
      </c>
    </row>
    <row r="159" customFormat="false" ht="15" hidden="false" customHeight="false" outlineLevel="0" collapsed="false">
      <c r="B159" s="6" t="s">
        <v>99</v>
      </c>
      <c r="I159" s="8" t="n">
        <v>0.62</v>
      </c>
    </row>
    <row r="160" customFormat="false" ht="15" hidden="false" customHeight="false" outlineLevel="0" collapsed="false">
      <c r="B160" s="6" t="s">
        <v>100</v>
      </c>
      <c r="I160" s="8" t="n">
        <v>0.68</v>
      </c>
    </row>
    <row r="161" customFormat="false" ht="15" hidden="false" customHeight="false" outlineLevel="0" collapsed="false">
      <c r="B161" s="6" t="s">
        <v>101</v>
      </c>
      <c r="I161" s="8" t="n">
        <v>0.47</v>
      </c>
    </row>
    <row r="162" customFormat="false" ht="15" hidden="false" customHeight="false" outlineLevel="0" collapsed="false">
      <c r="B162" s="5" t="s">
        <v>102</v>
      </c>
      <c r="I162" s="43" t="n">
        <f aca="false">CHOOSE($D$4,I159,I160,I161)</f>
        <v>0.62</v>
      </c>
    </row>
    <row r="163" customFormat="false" ht="15" hidden="false" customHeight="false" outlineLevel="0" collapsed="false">
      <c r="B163" s="5" t="s">
        <v>137</v>
      </c>
    </row>
    <row r="164" customFormat="false" ht="15" hidden="false" customHeight="false" outlineLevel="0" collapsed="false">
      <c r="B164" s="6" t="s">
        <v>99</v>
      </c>
      <c r="I164" s="54" t="n">
        <v>0.95</v>
      </c>
    </row>
    <row r="165" customFormat="false" ht="15" hidden="false" customHeight="false" outlineLevel="0" collapsed="false">
      <c r="B165" s="6" t="s">
        <v>100</v>
      </c>
      <c r="I165" s="54" t="n">
        <v>0.98</v>
      </c>
    </row>
    <row r="166" customFormat="false" ht="15" hidden="false" customHeight="false" outlineLevel="0" collapsed="false">
      <c r="B166" s="6" t="s">
        <v>101</v>
      </c>
      <c r="I166" s="54" t="n">
        <v>0.97</v>
      </c>
    </row>
    <row r="167" customFormat="false" ht="15" hidden="false" customHeight="false" outlineLevel="0" collapsed="false">
      <c r="B167" s="5" t="s">
        <v>102</v>
      </c>
      <c r="I167" s="55" t="n">
        <f aca="false">CHOOSE($D$4,I164,I165,I166)</f>
        <v>0.95</v>
      </c>
    </row>
    <row r="168" customFormat="false" ht="15" hidden="false" customHeight="false" outlineLevel="0" collapsed="false">
      <c r="B168" s="5" t="s">
        <v>138</v>
      </c>
    </row>
    <row r="169" customFormat="false" ht="15" hidden="false" customHeight="false" outlineLevel="0" collapsed="false">
      <c r="B169" s="6" t="s">
        <v>99</v>
      </c>
      <c r="I169" s="8" t="n">
        <v>0.072</v>
      </c>
    </row>
    <row r="170" customFormat="false" ht="15" hidden="false" customHeight="false" outlineLevel="0" collapsed="false">
      <c r="B170" s="6" t="s">
        <v>100</v>
      </c>
      <c r="I170" s="8" t="n">
        <v>0.065</v>
      </c>
    </row>
    <row r="171" customFormat="false" ht="15" hidden="false" customHeight="false" outlineLevel="0" collapsed="false">
      <c r="B171" s="6" t="s">
        <v>101</v>
      </c>
      <c r="I171" s="8" t="n">
        <v>0.09</v>
      </c>
    </row>
    <row r="172" customFormat="false" ht="15" hidden="false" customHeight="false" outlineLevel="0" collapsed="false">
      <c r="B172" s="5" t="s">
        <v>102</v>
      </c>
      <c r="I172" s="43" t="n">
        <f aca="false">CHOOSE($D$4,I169,I170,I171)</f>
        <v>0.072</v>
      </c>
    </row>
    <row r="173" customFormat="false" ht="15" hidden="false" customHeight="false" outlineLevel="0" collapsed="false">
      <c r="B173" s="5" t="s">
        <v>139</v>
      </c>
    </row>
    <row r="174" customFormat="false" ht="15" hidden="false" customHeight="false" outlineLevel="0" collapsed="false">
      <c r="B174" s="6" t="s">
        <v>99</v>
      </c>
      <c r="I174" s="8" t="n">
        <v>0.24</v>
      </c>
    </row>
    <row r="175" customFormat="false" ht="15" hidden="false" customHeight="false" outlineLevel="0" collapsed="false">
      <c r="B175" s="6" t="s">
        <v>100</v>
      </c>
      <c r="I175" s="8" t="n">
        <v>0.25</v>
      </c>
    </row>
    <row r="176" customFormat="false" ht="15" hidden="false" customHeight="false" outlineLevel="0" collapsed="false">
      <c r="B176" s="6" t="s">
        <v>101</v>
      </c>
      <c r="I176" s="8" t="n">
        <v>0.3</v>
      </c>
    </row>
    <row r="177" customFormat="false" ht="15" hidden="false" customHeight="false" outlineLevel="0" collapsed="false">
      <c r="B177" s="5" t="s">
        <v>102</v>
      </c>
      <c r="I177" s="43" t="n">
        <f aca="false">CHOOSE($D$4,I174,I175,I176)</f>
        <v>0.24</v>
      </c>
    </row>
    <row r="178" customFormat="false" ht="15" hidden="false" customHeight="false" outlineLevel="0" collapsed="false">
      <c r="B178" s="5" t="s">
        <v>140</v>
      </c>
    </row>
    <row r="179" customFormat="false" ht="15" hidden="false" customHeight="false" outlineLevel="0" collapsed="false">
      <c r="B179" s="6" t="s">
        <v>99</v>
      </c>
      <c r="I179" s="8" t="n">
        <v>0.165</v>
      </c>
    </row>
    <row r="180" customFormat="false" ht="15" hidden="false" customHeight="false" outlineLevel="0" collapsed="false">
      <c r="B180" s="6" t="s">
        <v>100</v>
      </c>
      <c r="I180" s="8" t="n">
        <v>0.15</v>
      </c>
    </row>
    <row r="181" customFormat="false" ht="15" hidden="false" customHeight="false" outlineLevel="0" collapsed="false">
      <c r="B181" s="6" t="s">
        <v>101</v>
      </c>
      <c r="I181" s="8" t="n">
        <v>0.2</v>
      </c>
    </row>
    <row r="182" customFormat="false" ht="15" hidden="false" customHeight="false" outlineLevel="0" collapsed="false">
      <c r="B182" s="5" t="s">
        <v>102</v>
      </c>
      <c r="I182" s="43" t="n">
        <f aca="false">CHOOSE($D$4,I179,I180,I181)</f>
        <v>0.165</v>
      </c>
    </row>
    <row r="183" customFormat="false" ht="15" hidden="false" customHeight="false" outlineLevel="0" collapsed="false">
      <c r="B183" s="5" t="s">
        <v>141</v>
      </c>
    </row>
    <row r="184" customFormat="false" ht="15" hidden="false" customHeight="false" outlineLevel="0" collapsed="false">
      <c r="B184" s="6" t="s">
        <v>99</v>
      </c>
      <c r="I184" s="8" t="n">
        <v>0.155</v>
      </c>
    </row>
    <row r="185" customFormat="false" ht="15" hidden="false" customHeight="false" outlineLevel="0" collapsed="false">
      <c r="B185" s="6" t="s">
        <v>100</v>
      </c>
      <c r="I185" s="8" t="n">
        <v>0.155</v>
      </c>
    </row>
    <row r="186" customFormat="false" ht="15" hidden="false" customHeight="false" outlineLevel="0" collapsed="false">
      <c r="B186" s="6" t="s">
        <v>101</v>
      </c>
      <c r="I186" s="8" t="n">
        <v>0.165</v>
      </c>
    </row>
    <row r="187" customFormat="false" ht="15" hidden="false" customHeight="false" outlineLevel="0" collapsed="false">
      <c r="B187" s="5" t="s">
        <v>102</v>
      </c>
      <c r="I187" s="43" t="n">
        <f aca="false">CHOOSE($D$4,I184,I185,I186)</f>
        <v>0.155</v>
      </c>
    </row>
    <row r="188" customFormat="false" ht="15" hidden="false" customHeight="false" outlineLevel="0" collapsed="false">
      <c r="B188" s="5" t="s">
        <v>142</v>
      </c>
    </row>
    <row r="189" customFormat="false" ht="15" hidden="false" customHeight="false" outlineLevel="0" collapsed="false">
      <c r="B189" s="6" t="s">
        <v>99</v>
      </c>
      <c r="I189" s="8" t="n">
        <v>0.15</v>
      </c>
    </row>
    <row r="190" customFormat="false" ht="15" hidden="false" customHeight="false" outlineLevel="0" collapsed="false">
      <c r="B190" s="6" t="s">
        <v>100</v>
      </c>
      <c r="I190" s="8" t="n">
        <v>0.16</v>
      </c>
    </row>
    <row r="191" customFormat="false" ht="15" hidden="false" customHeight="false" outlineLevel="0" collapsed="false">
      <c r="B191" s="6" t="s">
        <v>101</v>
      </c>
      <c r="I191" s="8" t="n">
        <v>0.19</v>
      </c>
    </row>
    <row r="192" customFormat="false" ht="15" hidden="false" customHeight="false" outlineLevel="0" collapsed="false">
      <c r="B192" s="5" t="s">
        <v>102</v>
      </c>
      <c r="I192" s="43" t="n">
        <f aca="false">CHOOSE($D$4,I189,I190,I191)</f>
        <v>0.15</v>
      </c>
    </row>
    <row r="194" customFormat="false" ht="15" hidden="false" customHeight="false" outlineLevel="0" collapsed="false">
      <c r="B194" s="4" t="s">
        <v>143</v>
      </c>
    </row>
    <row r="195" customFormat="false" ht="15" hidden="false" customHeight="false" outlineLevel="0" collapsed="false">
      <c r="B195" s="6" t="s">
        <v>144</v>
      </c>
      <c r="C195" s="3" t="s">
        <v>98</v>
      </c>
      <c r="I195" s="44" t="n">
        <v>0.0527</v>
      </c>
    </row>
    <row r="196" customFormat="false" ht="15" hidden="false" customHeight="false" outlineLevel="0" collapsed="false">
      <c r="B196" s="5" t="s">
        <v>145</v>
      </c>
    </row>
    <row r="197" customFormat="false" ht="15" hidden="false" customHeight="false" outlineLevel="0" collapsed="false">
      <c r="B197" s="6" t="s">
        <v>99</v>
      </c>
      <c r="I197" s="56" t="n">
        <v>1.82</v>
      </c>
    </row>
    <row r="198" customFormat="false" ht="15" hidden="false" customHeight="false" outlineLevel="0" collapsed="false">
      <c r="B198" s="6" t="s">
        <v>100</v>
      </c>
      <c r="I198" s="56" t="n">
        <v>1.65</v>
      </c>
    </row>
    <row r="199" customFormat="false" ht="15" hidden="false" customHeight="false" outlineLevel="0" collapsed="false">
      <c r="B199" s="6" t="s">
        <v>101</v>
      </c>
      <c r="I199" s="56" t="n">
        <v>2.1</v>
      </c>
    </row>
    <row r="200" customFormat="false" ht="15" hidden="false" customHeight="false" outlineLevel="0" collapsed="false">
      <c r="B200" s="5" t="s">
        <v>102</v>
      </c>
      <c r="I200" s="57" t="n">
        <f aca="false">CHOOSE($D$4,I197,I198,I199)</f>
        <v>1.82</v>
      </c>
    </row>
    <row r="201" customFormat="false" ht="15" hidden="false" customHeight="false" outlineLevel="0" collapsed="false">
      <c r="B201" s="6" t="s">
        <v>146</v>
      </c>
      <c r="C201" s="3" t="s">
        <v>98</v>
      </c>
      <c r="I201" s="44" t="n">
        <v>0.042</v>
      </c>
    </row>
    <row r="202" customFormat="false" ht="15" hidden="false" customHeight="false" outlineLevel="0" collapsed="false">
      <c r="B202" s="5" t="s">
        <v>147</v>
      </c>
      <c r="C202" s="3" t="s">
        <v>98</v>
      </c>
      <c r="I202" s="58" t="n">
        <f aca="false">I195+I200*I201</f>
        <v>0.12914</v>
      </c>
    </row>
    <row r="203" customFormat="false" ht="15" hidden="false" customHeight="false" outlineLevel="0" collapsed="false">
      <c r="B203" s="6" t="s">
        <v>148</v>
      </c>
      <c r="C203" s="3" t="s">
        <v>98</v>
      </c>
      <c r="I203" s="44" t="n">
        <v>0.059</v>
      </c>
    </row>
    <row r="204" customFormat="false" ht="15" hidden="false" customHeight="false" outlineLevel="0" collapsed="false">
      <c r="B204" s="6" t="s">
        <v>149</v>
      </c>
      <c r="C204" s="3" t="s">
        <v>98</v>
      </c>
      <c r="I204" s="8" t="n">
        <v>0.155</v>
      </c>
    </row>
    <row r="205" customFormat="false" ht="15" hidden="false" customHeight="false" outlineLevel="0" collapsed="false">
      <c r="B205" s="6" t="s">
        <v>150</v>
      </c>
      <c r="C205" s="3" t="s">
        <v>98</v>
      </c>
      <c r="I205" s="31" t="n">
        <f aca="false">I203*(1-I204)</f>
        <v>0.049855</v>
      </c>
    </row>
    <row r="206" customFormat="false" ht="15" hidden="false" customHeight="false" outlineLevel="0" collapsed="false">
      <c r="B206" s="6" t="s">
        <v>151</v>
      </c>
      <c r="C206" s="3" t="s">
        <v>98</v>
      </c>
      <c r="I206" s="8" t="n">
        <v>0.005</v>
      </c>
    </row>
    <row r="207" customFormat="false" ht="15" hidden="false" customHeight="false" outlineLevel="0" collapsed="false">
      <c r="B207" s="6" t="s">
        <v>152</v>
      </c>
      <c r="C207" s="3" t="s">
        <v>98</v>
      </c>
      <c r="I207" s="59" t="n">
        <f aca="false">1-I206</f>
        <v>0.995</v>
      </c>
    </row>
    <row r="208" customFormat="false" ht="15" hidden="false" customHeight="false" outlineLevel="0" collapsed="false">
      <c r="B208" s="5" t="s">
        <v>153</v>
      </c>
      <c r="C208" s="3" t="s">
        <v>98</v>
      </c>
      <c r="I208" s="58" t="n">
        <f aca="false">I207*I202+I206*I205</f>
        <v>0.128743575</v>
      </c>
    </row>
    <row r="209" customFormat="false" ht="15" hidden="false" customHeight="false" outlineLevel="0" collapsed="false">
      <c r="B209" s="5" t="s">
        <v>154</v>
      </c>
    </row>
    <row r="210" customFormat="false" ht="15" hidden="false" customHeight="false" outlineLevel="0" collapsed="false">
      <c r="B210" s="6" t="s">
        <v>99</v>
      </c>
      <c r="I210" s="8" t="n">
        <v>0.03</v>
      </c>
    </row>
    <row r="211" customFormat="false" ht="15" hidden="false" customHeight="false" outlineLevel="0" collapsed="false">
      <c r="B211" s="6" t="s">
        <v>100</v>
      </c>
      <c r="I211" s="8" t="n">
        <v>0.035</v>
      </c>
    </row>
    <row r="212" customFormat="false" ht="15" hidden="false" customHeight="false" outlineLevel="0" collapsed="false">
      <c r="B212" s="6" t="s">
        <v>101</v>
      </c>
      <c r="I212" s="8" t="n">
        <v>0.025</v>
      </c>
    </row>
    <row r="213" customFormat="false" ht="15" hidden="false" customHeight="false" outlineLevel="0" collapsed="false">
      <c r="B213" s="5" t="s">
        <v>102</v>
      </c>
      <c r="I213" s="60" t="n">
        <f aca="false">CHOOSE($D$4,I210,I211,I212)</f>
        <v>0.03</v>
      </c>
    </row>
    <row r="214" customFormat="false" ht="15" hidden="false" customHeight="false" outlineLevel="0" collapsed="false">
      <c r="B214" s="6" t="s">
        <v>155</v>
      </c>
      <c r="I214" s="61" t="n">
        <v>1</v>
      </c>
    </row>
    <row r="215" customFormat="false" ht="15" hidden="false" customHeight="false" outlineLevel="0" collapsed="false">
      <c r="B215" s="6" t="s">
        <v>156</v>
      </c>
      <c r="I215" s="19" t="n">
        <v>46302</v>
      </c>
    </row>
    <row r="216" customFormat="false" ht="15" hidden="false" customHeight="false" outlineLevel="0" collapsed="false">
      <c r="B216" s="6" t="s">
        <v>157</v>
      </c>
      <c r="I216" s="19" t="n">
        <v>46632</v>
      </c>
    </row>
    <row r="217" customFormat="false" ht="15" hidden="false" customHeight="false" outlineLevel="0" collapsed="false">
      <c r="B217" s="6" t="s">
        <v>158</v>
      </c>
      <c r="C217" s="3" t="s">
        <v>114</v>
      </c>
      <c r="I217" s="47" t="n">
        <v>500</v>
      </c>
    </row>
    <row r="219" customFormat="false" ht="15" hidden="false" customHeight="false" outlineLevel="0" collapsed="false">
      <c r="B219" s="4" t="s">
        <v>159</v>
      </c>
    </row>
    <row r="220" customFormat="false" ht="15" hidden="false" customHeight="false" outlineLevel="0" collapsed="false">
      <c r="B220" s="6" t="s">
        <v>160</v>
      </c>
      <c r="C220" s="3" t="s">
        <v>98</v>
      </c>
      <c r="H220" s="8" t="n">
        <v>0.815</v>
      </c>
    </row>
    <row r="221" customFormat="false" ht="15" hidden="false" customHeight="false" outlineLevel="0" collapsed="false">
      <c r="B221" s="6" t="s">
        <v>161</v>
      </c>
      <c r="C221" s="3" t="s">
        <v>98</v>
      </c>
      <c r="H221" s="8" t="n">
        <v>0.65</v>
      </c>
    </row>
    <row r="223" customFormat="false" ht="15" hidden="false" customHeight="false" outlineLevel="0" collapsed="false">
      <c r="B223" s="4" t="s">
        <v>162</v>
      </c>
    </row>
    <row r="224" customFormat="false" ht="15" hidden="false" customHeight="false" outlineLevel="0" collapsed="false">
      <c r="B224" s="6" t="s">
        <v>163</v>
      </c>
      <c r="C224" s="3" t="s">
        <v>124</v>
      </c>
      <c r="I224" s="52" t="n">
        <v>1045.56</v>
      </c>
    </row>
    <row r="225" customFormat="false" ht="15" hidden="false" customHeight="false" outlineLevel="0" collapsed="false">
      <c r="B225" s="6" t="s">
        <v>6</v>
      </c>
      <c r="I225" s="19" t="n">
        <v>46301</v>
      </c>
    </row>
    <row r="226" customFormat="false" ht="15" hidden="false" customHeight="false" outlineLevel="0" collapsed="false">
      <c r="B226" s="5" t="s">
        <v>164</v>
      </c>
      <c r="C226" s="3" t="s">
        <v>129</v>
      </c>
      <c r="I226" s="62" t="n">
        <v>1147</v>
      </c>
    </row>
    <row r="227" customFormat="false" ht="15" hidden="false" customHeight="false" outlineLevel="0" collapsed="false">
      <c r="B227" s="3" t="s">
        <v>165</v>
      </c>
      <c r="C227" s="3" t="s">
        <v>129</v>
      </c>
      <c r="I227" s="63" t="n">
        <v>1129.39</v>
      </c>
    </row>
    <row r="228" customFormat="false" ht="15" hidden="false" customHeight="false" outlineLevel="0" collapsed="false">
      <c r="B228" s="6" t="s">
        <v>166</v>
      </c>
      <c r="C228" s="3" t="s">
        <v>114</v>
      </c>
      <c r="I228" s="64" t="n">
        <v>275010</v>
      </c>
    </row>
    <row r="229" customFormat="false" ht="15" hidden="false" customHeight="false" outlineLevel="0" collapsed="false">
      <c r="B229" s="6" t="s">
        <v>167</v>
      </c>
      <c r="C229" s="3" t="s">
        <v>124</v>
      </c>
      <c r="I229" s="65" t="n">
        <v>176.15</v>
      </c>
    </row>
    <row r="230" customFormat="false" ht="15" hidden="false" customHeight="false" outlineLevel="0" collapsed="false">
      <c r="B230" s="6" t="s">
        <v>168</v>
      </c>
      <c r="C230" s="3" t="s">
        <v>114</v>
      </c>
      <c r="I230" s="64" t="n">
        <v>314640</v>
      </c>
    </row>
    <row r="231" customFormat="false" ht="15" hidden="false" customHeight="false" outlineLevel="0" collapsed="false">
      <c r="B231" s="6" t="s">
        <v>169</v>
      </c>
      <c r="C231" s="3" t="s">
        <v>124</v>
      </c>
      <c r="I231" s="65" t="n">
        <v>206.33</v>
      </c>
    </row>
    <row r="232" customFormat="false" ht="15" hidden="false" customHeight="false" outlineLevel="0" collapsed="false">
      <c r="B232" s="6" t="s">
        <v>170</v>
      </c>
      <c r="C232" s="3" t="s">
        <v>124</v>
      </c>
      <c r="I232" s="52" t="n">
        <v>1535.57</v>
      </c>
    </row>
  </sheetData>
  <dataValidations count="1">
    <dataValidation allowBlank="false" error="Use 1 (Base), 2 (Bull) ou 3 (Bear)." errorStyle="stop" errorTitle="Cenario" operator="between" showDropDown="false" showErrorMessage="true" showInputMessage="false" sqref="D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65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171</v>
      </c>
    </row>
    <row r="2" customFormat="false" ht="15" hidden="false" customHeight="false" outlineLevel="0" collapsed="false">
      <c r="B2" s="3" t="s">
        <v>172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</row>
    <row r="5" customFormat="false" ht="15" hidden="false" customHeight="false" outlineLevel="0" collapsed="false">
      <c r="B5" s="4" t="s">
        <v>173</v>
      </c>
    </row>
    <row r="6" customFormat="false" ht="15" hidden="false" customHeight="false" outlineLevel="0" collapsed="false">
      <c r="B6" s="6" t="s">
        <v>174</v>
      </c>
      <c r="C6" s="3" t="s">
        <v>175</v>
      </c>
      <c r="D6" s="64" t="n">
        <v>22386</v>
      </c>
      <c r="E6" s="64" t="n">
        <v>10978</v>
      </c>
      <c r="F6" s="64" t="n">
        <v>17600</v>
      </c>
      <c r="G6" s="64" t="n">
        <v>28578</v>
      </c>
      <c r="H6" s="64" t="n">
        <v>100712</v>
      </c>
      <c r="I6" s="66" t="n">
        <f aca="false">H6*(1+Premissas!I11)*(1+Premissas!I17)</f>
        <v>203841.088</v>
      </c>
      <c r="J6" s="66" t="n">
        <f aca="false">I6*(1+Premissas!J11)*(1+Premissas!J17)</f>
        <v>235864.5229248</v>
      </c>
      <c r="K6" s="66" t="n">
        <f aca="false">J6*(1+Premissas!K11)*(1+Premissas!K17)</f>
        <v>170176.253290243</v>
      </c>
      <c r="L6" s="66" t="n">
        <f aca="false">K6*(1+Premissas!L11)*(1+Premissas!L17)</f>
        <v>129844.481260456</v>
      </c>
      <c r="M6" s="66" t="n">
        <f aca="false">L6*(1+Premissas!M11)*(1+Premissas!M17)</f>
        <v>159656.774157856</v>
      </c>
    </row>
    <row r="7" customFormat="false" ht="15" hidden="false" customHeight="false" outlineLevel="0" collapsed="false">
      <c r="B7" s="6" t="s">
        <v>176</v>
      </c>
      <c r="D7" s="64" t="n">
        <v>7811</v>
      </c>
      <c r="E7" s="64" t="n">
        <v>4206</v>
      </c>
      <c r="F7" s="64" t="n">
        <v>7230</v>
      </c>
      <c r="G7" s="64" t="n">
        <v>8503</v>
      </c>
      <c r="H7" s="64" t="n">
        <v>31743</v>
      </c>
      <c r="I7" s="66" t="n">
        <f aca="false">H7*(1+Premissas!I29)*(1+Premissas!I35)</f>
        <v>68171.2668</v>
      </c>
      <c r="J7" s="66" t="n">
        <f aca="false">I7*(1+Premissas!J29)*(1+Premissas!J35)</f>
        <v>63808.3057248</v>
      </c>
      <c r="K7" s="66" t="n">
        <f aca="false">J7*(1+Premissas!K29)*(1+Premissas!K35)</f>
        <v>42496.3316127168</v>
      </c>
      <c r="L7" s="66" t="n">
        <f aca="false">K7*(1+Premissas!L29)*(1+Premissas!L35)</f>
        <v>36172.8774687445</v>
      </c>
      <c r="M7" s="66" t="n">
        <f aca="false">L7*(1+Premissas!M29)*(1+Premissas!M35)</f>
        <v>46489.3821228305</v>
      </c>
    </row>
    <row r="8" customFormat="false" ht="15" hidden="false" customHeight="false" outlineLevel="0" collapsed="false">
      <c r="B8" s="6" t="s">
        <v>177</v>
      </c>
      <c r="C8" s="3" t="s">
        <v>178</v>
      </c>
      <c r="D8" s="64" t="n">
        <v>561</v>
      </c>
      <c r="E8" s="64" t="n">
        <v>356</v>
      </c>
      <c r="F8" s="64" t="n">
        <v>281</v>
      </c>
      <c r="G8" s="64" t="n">
        <v>297</v>
      </c>
      <c r="H8" s="64" t="n">
        <v>733</v>
      </c>
      <c r="I8" s="66" t="n">
        <f aca="false">H8*(1+Premissas!I47)</f>
        <v>820.96</v>
      </c>
      <c r="J8" s="66" t="n">
        <f aca="false">I8*(1+Premissas!J47)</f>
        <v>853.7984</v>
      </c>
      <c r="K8" s="66" t="n">
        <f aca="false">J8*(1+Premissas!K47)</f>
        <v>751.342592</v>
      </c>
      <c r="L8" s="66" t="n">
        <f aca="false">K8*(1+Premissas!L47)</f>
        <v>691.23518464</v>
      </c>
      <c r="M8" s="66" t="n">
        <f aca="false">L8*(1+Premissas!M47)</f>
        <v>739.6216475648</v>
      </c>
    </row>
    <row r="9" customFormat="false" ht="15" hidden="false" customHeight="false" outlineLevel="0" collapsed="false">
      <c r="B9" s="5" t="s">
        <v>179</v>
      </c>
      <c r="D9" s="67" t="n">
        <f aca="false">SUM(D6:D8)</f>
        <v>30758</v>
      </c>
      <c r="E9" s="67" t="n">
        <f aca="false">SUM(E6:E8)</f>
        <v>15540</v>
      </c>
      <c r="F9" s="67" t="n">
        <f aca="false">SUM(F6:F8)</f>
        <v>25111</v>
      </c>
      <c r="G9" s="67" t="n">
        <f aca="false">SUM(G6:G8)</f>
        <v>37378</v>
      </c>
      <c r="H9" s="67" t="n">
        <f aca="false">SUM(H6:H8)</f>
        <v>133188</v>
      </c>
      <c r="I9" s="67" t="n">
        <f aca="false">SUM(I6:I8)</f>
        <v>272833.3148</v>
      </c>
      <c r="J9" s="67" t="n">
        <f aca="false">SUM(J6:J8)</f>
        <v>300526.6270496</v>
      </c>
      <c r="K9" s="67" t="n">
        <f aca="false">SUM(K6:K8)</f>
        <v>213423.92749496</v>
      </c>
      <c r="L9" s="67" t="n">
        <f aca="false">SUM(L6:L8)</f>
        <v>166708.59391384</v>
      </c>
      <c r="M9" s="67" t="n">
        <f aca="false">SUM(M6:M8)</f>
        <v>206885.777928251</v>
      </c>
    </row>
    <row r="10" customFormat="false" ht="15" hidden="false" customHeight="false" outlineLevel="0" collapsed="false">
      <c r="B10" s="3" t="s">
        <v>180</v>
      </c>
      <c r="D10" s="64" t="n">
        <v>30758</v>
      </c>
      <c r="E10" s="64" t="n">
        <v>15540</v>
      </c>
      <c r="F10" s="64" t="n">
        <v>25111</v>
      </c>
      <c r="G10" s="64" t="n">
        <v>37378</v>
      </c>
      <c r="H10" s="64" t="n">
        <v>133188</v>
      </c>
    </row>
    <row r="11" customFormat="false" ht="15" hidden="false" customHeight="false" outlineLevel="0" collapsed="false">
      <c r="B11" s="3" t="s">
        <v>181</v>
      </c>
      <c r="D11" s="28" t="n">
        <f aca="false">D9-D10</f>
        <v>0</v>
      </c>
      <c r="E11" s="28" t="n">
        <f aca="false">E9-E10</f>
        <v>0</v>
      </c>
      <c r="F11" s="28" t="n">
        <f aca="false">F9-F10</f>
        <v>0</v>
      </c>
      <c r="G11" s="28" t="n">
        <f aca="false">G9-G10</f>
        <v>0</v>
      </c>
      <c r="H11" s="28" t="n">
        <f aca="false">H9-H10</f>
        <v>0</v>
      </c>
      <c r="I11" s="28" t="n">
        <f aca="false">I9-DRE!I5</f>
        <v>0</v>
      </c>
      <c r="J11" s="28" t="n">
        <f aca="false">J9-DRE!J5</f>
        <v>0</v>
      </c>
      <c r="K11" s="28" t="n">
        <f aca="false">K9-DRE!K5</f>
        <v>0</v>
      </c>
      <c r="L11" s="28" t="n">
        <f aca="false">L9-DRE!L5</f>
        <v>0</v>
      </c>
      <c r="M11" s="28" t="n">
        <f aca="false">M9-DRE!M5</f>
        <v>0</v>
      </c>
    </row>
    <row r="12" customFormat="false" ht="15" hidden="false" customHeight="false" outlineLevel="0" collapsed="false">
      <c r="B12" s="3" t="s">
        <v>182</v>
      </c>
      <c r="E12" s="14" t="n">
        <f aca="false">IFERROR(E6/D6-1,"")</f>
        <v>-0.50960421692129</v>
      </c>
      <c r="F12" s="14" t="n">
        <f aca="false">IFERROR(F6/E6-1,"")</f>
        <v>0.603206412825651</v>
      </c>
      <c r="G12" s="14" t="n">
        <f aca="false">IFERROR(G6/F6-1,"")</f>
        <v>0.62375</v>
      </c>
      <c r="H12" s="14" t="n">
        <f aca="false">IFERROR(H6/G6-1,"")</f>
        <v>2.52410945482539</v>
      </c>
      <c r="I12" s="14" t="n">
        <f aca="false">IFERROR(I6/H6-1,"")</f>
        <v>1.024</v>
      </c>
      <c r="J12" s="14" t="n">
        <f aca="false">IFERROR(J6/I6-1,"")</f>
        <v>0.1571</v>
      </c>
      <c r="K12" s="14" t="n">
        <f aca="false">IFERROR(K6/J6-1,"")</f>
        <v>-0.2785</v>
      </c>
      <c r="L12" s="14" t="n">
        <f aca="false">IFERROR(L6/K6-1,"")</f>
        <v>-0.237</v>
      </c>
      <c r="M12" s="14" t="n">
        <f aca="false">IFERROR(M6/L6-1,"")</f>
        <v>0.2296</v>
      </c>
    </row>
    <row r="13" customFormat="false" ht="15" hidden="false" customHeight="false" outlineLevel="0" collapsed="false">
      <c r="B13" s="3" t="s">
        <v>183</v>
      </c>
      <c r="E13" s="14" t="n">
        <f aca="false">IFERROR(E7/D7-1,"")</f>
        <v>-0.461528613493791</v>
      </c>
      <c r="F13" s="14" t="n">
        <f aca="false">IFERROR(F7/E7-1,"")</f>
        <v>0.718972895863053</v>
      </c>
      <c r="G13" s="14" t="n">
        <f aca="false">IFERROR(G7/F7-1,"")</f>
        <v>0.176071922544952</v>
      </c>
      <c r="H13" s="14" t="n">
        <f aca="false">IFERROR(H7/G7-1,"")</f>
        <v>2.73315300482183</v>
      </c>
      <c r="I13" s="14" t="n">
        <f aca="false">IFERROR(I7/H7-1,"")</f>
        <v>1.1476</v>
      </c>
      <c r="J13" s="14" t="n">
        <f aca="false">IFERROR(J7/I7-1,"")</f>
        <v>-0.0640000000000001</v>
      </c>
      <c r="K13" s="14" t="n">
        <f aca="false">IFERROR(K7/J7-1,"")</f>
        <v>-0.334</v>
      </c>
      <c r="L13" s="14" t="n">
        <f aca="false">IFERROR(L7/K7-1,"")</f>
        <v>-0.1488</v>
      </c>
      <c r="M13" s="14" t="n">
        <f aca="false">IFERROR(M7/L7-1,"")</f>
        <v>0.2852</v>
      </c>
    </row>
    <row r="14" customFormat="false" ht="15" hidden="false" customHeight="false" outlineLevel="0" collapsed="false">
      <c r="B14" s="3" t="s">
        <v>184</v>
      </c>
      <c r="E14" s="14" t="n">
        <f aca="false">IFERROR(E9/D9-1,"")</f>
        <v>-0.494765589440146</v>
      </c>
      <c r="F14" s="14" t="n">
        <f aca="false">IFERROR(F9/E9-1,"")</f>
        <v>0.615894465894466</v>
      </c>
      <c r="G14" s="14" t="n">
        <f aca="false">IFERROR(G9/F9-1,"")</f>
        <v>0.488511011110669</v>
      </c>
      <c r="H14" s="14" t="n">
        <f aca="false">IFERROR(H9/G9-1,"")</f>
        <v>2.56327251324308</v>
      </c>
      <c r="I14" s="14" t="n">
        <f aca="false">IFERROR(I9/H9-1,"")</f>
        <v>1.04848270715079</v>
      </c>
      <c r="J14" s="14" t="n">
        <f aca="false">IFERROR(J9/I9-1,"")</f>
        <v>0.101502678548991</v>
      </c>
      <c r="K14" s="14" t="n">
        <f aca="false">IFERROR(K9/J9-1,"")</f>
        <v>-0.289833551222282</v>
      </c>
      <c r="L14" s="14" t="n">
        <f aca="false">IFERROR(L9/K9-1,"")</f>
        <v>-0.218885174354328</v>
      </c>
      <c r="M14" s="14" t="n">
        <f aca="false">IFERROR(M9/L9-1,"")</f>
        <v>0.241002476664017</v>
      </c>
    </row>
    <row r="15" customFormat="false" ht="15" hidden="false" customHeight="false" outlineLevel="0" collapsed="false">
      <c r="B15" s="6" t="s">
        <v>185</v>
      </c>
      <c r="D15" s="59" t="n">
        <f aca="false">D6/D9</f>
        <v>0.727810650887574</v>
      </c>
      <c r="E15" s="59" t="n">
        <f aca="false">E6/E9</f>
        <v>0.706435006435007</v>
      </c>
      <c r="F15" s="59" t="n">
        <f aca="false">F6/F9</f>
        <v>0.700888057026801</v>
      </c>
      <c r="G15" s="59" t="n">
        <f aca="false">G6/G9</f>
        <v>0.764567392583873</v>
      </c>
      <c r="H15" s="59" t="n">
        <f aca="false">H6/H9</f>
        <v>0.756164218998709</v>
      </c>
      <c r="I15" s="59" t="n">
        <f aca="false">I6/I9</f>
        <v>0.747126824117595</v>
      </c>
      <c r="J15" s="59" t="n">
        <f aca="false">J6/J9</f>
        <v>0.784837354481312</v>
      </c>
      <c r="K15" s="59" t="n">
        <f aca="false">K6/K9</f>
        <v>0.797362579199382</v>
      </c>
      <c r="L15" s="59" t="n">
        <f aca="false">L6/L9</f>
        <v>0.778870952073191</v>
      </c>
      <c r="M15" s="59" t="n">
        <f aca="false">M6/M9</f>
        <v>0.77171459419132</v>
      </c>
    </row>
    <row r="16" customFormat="false" ht="15" hidden="false" customHeight="false" outlineLevel="0" collapsed="false">
      <c r="B16" s="6" t="s">
        <v>186</v>
      </c>
      <c r="D16" s="59" t="n">
        <f aca="false">D7/D9</f>
        <v>0.253950191820014</v>
      </c>
      <c r="E16" s="59" t="n">
        <f aca="false">E7/E9</f>
        <v>0.270656370656371</v>
      </c>
      <c r="F16" s="59" t="n">
        <f aca="false">F7/F9</f>
        <v>0.287921627971805</v>
      </c>
      <c r="G16" s="59" t="n">
        <f aca="false">G7/G9</f>
        <v>0.227486756915833</v>
      </c>
      <c r="H16" s="59" t="n">
        <f aca="false">H7/H9</f>
        <v>0.238332282187584</v>
      </c>
      <c r="I16" s="59" t="n">
        <f aca="false">I7/I9</f>
        <v>0.249864159184419</v>
      </c>
      <c r="J16" s="59" t="n">
        <f aca="false">J7/J9</f>
        <v>0.212321638023338</v>
      </c>
      <c r="K16" s="59" t="n">
        <f aca="false">K7/K9</f>
        <v>0.199116997384093</v>
      </c>
      <c r="L16" s="59" t="n">
        <f aca="false">L7/L9</f>
        <v>0.216982679893754</v>
      </c>
      <c r="M16" s="59" t="n">
        <f aca="false">M7/M9</f>
        <v>0.224710381681979</v>
      </c>
    </row>
    <row r="18" customFormat="false" ht="15" hidden="false" customHeight="false" outlineLevel="0" collapsed="false">
      <c r="B18" s="4" t="s">
        <v>187</v>
      </c>
    </row>
    <row r="19" customFormat="false" ht="15" hidden="false" customHeight="false" outlineLevel="0" collapsed="false">
      <c r="B19" s="6" t="s">
        <v>188</v>
      </c>
      <c r="C19" s="3" t="s">
        <v>189</v>
      </c>
      <c r="H19" s="68" t="n">
        <v>100</v>
      </c>
      <c r="I19" s="68" t="n">
        <f aca="false">H19*(1+Premissas!I11)</f>
        <v>115</v>
      </c>
      <c r="J19" s="68" t="n">
        <f aca="false">I19*(1+Premissas!J11)</f>
        <v>131.1</v>
      </c>
      <c r="K19" s="68" t="n">
        <f aca="false">J19*(1+Premissas!K11)</f>
        <v>145.521</v>
      </c>
      <c r="L19" s="68" t="n">
        <f aca="false">K19*(1+Premissas!L11)</f>
        <v>158.61789</v>
      </c>
      <c r="M19" s="68" t="n">
        <f aca="false">L19*(1+Premissas!M11)</f>
        <v>183.9967524</v>
      </c>
    </row>
    <row r="20" customFormat="false" ht="15" hidden="false" customHeight="false" outlineLevel="0" collapsed="false">
      <c r="B20" s="6" t="s">
        <v>190</v>
      </c>
      <c r="H20" s="68" t="n">
        <v>100</v>
      </c>
      <c r="I20" s="68" t="n">
        <f aca="false">H20*(1+Premissas!I17)</f>
        <v>176</v>
      </c>
      <c r="J20" s="68" t="n">
        <f aca="false">I20*(1+Premissas!J17)</f>
        <v>178.64</v>
      </c>
      <c r="K20" s="68" t="n">
        <f aca="false">J20*(1+Premissas!K17)</f>
        <v>116.116</v>
      </c>
      <c r="L20" s="68" t="n">
        <f aca="false">K20*(1+Premissas!L17)</f>
        <v>81.2812</v>
      </c>
      <c r="M20" s="68" t="n">
        <f aca="false">L20*(1+Premissas!M17)</f>
        <v>86.158072</v>
      </c>
    </row>
    <row r="21" customFormat="false" ht="15" hidden="false" customHeight="false" outlineLevel="0" collapsed="false">
      <c r="B21" s="6" t="s">
        <v>191</v>
      </c>
      <c r="H21" s="68" t="n">
        <v>100</v>
      </c>
      <c r="I21" s="68" t="n">
        <f aca="false">H21*(1+Premissas!I23)</f>
        <v>124</v>
      </c>
      <c r="J21" s="68" t="n">
        <f aca="false">I21*(1+Premissas!J23)</f>
        <v>126.48</v>
      </c>
      <c r="K21" s="68" t="n">
        <f aca="false">J21*(1+Premissas!K23)</f>
        <v>135.3336</v>
      </c>
      <c r="L21" s="68" t="n">
        <f aca="false">K21*(1+Premissas!L23)</f>
        <v>132.626928</v>
      </c>
      <c r="M21" s="68" t="n">
        <f aca="false">L21*(1+Premissas!M23)</f>
        <v>120.69050448</v>
      </c>
    </row>
    <row r="22" customFormat="false" ht="15" hidden="false" customHeight="false" outlineLevel="0" collapsed="false">
      <c r="B22" s="6" t="s">
        <v>192</v>
      </c>
      <c r="H22" s="68" t="n">
        <v>100</v>
      </c>
      <c r="I22" s="68" t="n">
        <f aca="false">H22*(1+Premissas!I29)</f>
        <v>118</v>
      </c>
      <c r="J22" s="68" t="n">
        <f aca="false">I22*(1+Premissas!J29)</f>
        <v>138.06</v>
      </c>
      <c r="K22" s="68" t="n">
        <f aca="false">J22*(1+Premissas!K29)</f>
        <v>153.2466</v>
      </c>
      <c r="L22" s="68" t="n">
        <f aca="false">K22*(1+Premissas!L29)</f>
        <v>171.636192</v>
      </c>
      <c r="M22" s="68" t="n">
        <f aca="false">L22*(1+Premissas!M29)</f>
        <v>204.24706848</v>
      </c>
    </row>
    <row r="23" customFormat="false" ht="15" hidden="false" customHeight="false" outlineLevel="0" collapsed="false">
      <c r="B23" s="6" t="s">
        <v>193</v>
      </c>
      <c r="H23" s="68" t="n">
        <v>100</v>
      </c>
      <c r="I23" s="68" t="n">
        <f aca="false">H23*(1+Premissas!I35)</f>
        <v>182</v>
      </c>
      <c r="J23" s="68" t="n">
        <f aca="false">I23*(1+Premissas!J35)</f>
        <v>145.6</v>
      </c>
      <c r="K23" s="68" t="n">
        <f aca="false">J23*(1+Premissas!K35)</f>
        <v>87.36</v>
      </c>
      <c r="L23" s="68" t="n">
        <f aca="false">K23*(1+Premissas!L35)</f>
        <v>66.3936</v>
      </c>
      <c r="M23" s="68" t="n">
        <f aca="false">L23*(1+Premissas!M35)</f>
        <v>71.705088</v>
      </c>
    </row>
    <row r="24" customFormat="false" ht="15" hidden="false" customHeight="false" outlineLevel="0" collapsed="false">
      <c r="B24" s="6" t="s">
        <v>194</v>
      </c>
      <c r="H24" s="68" t="n">
        <v>100</v>
      </c>
      <c r="I24" s="68" t="n">
        <f aca="false">H24*(1+Premissas!I41)</f>
        <v>114</v>
      </c>
      <c r="J24" s="68" t="n">
        <f aca="false">I24*(1+Premissas!J41)</f>
        <v>110.58</v>
      </c>
      <c r="K24" s="68" t="n">
        <f aca="false">J24*(1+Premissas!K41)</f>
        <v>117.2148</v>
      </c>
      <c r="L24" s="68" t="n">
        <f aca="false">K24*(1+Premissas!L41)</f>
        <v>114.870504</v>
      </c>
      <c r="M24" s="68" t="n">
        <f aca="false">L24*(1+Premissas!M41)</f>
        <v>104.53215864</v>
      </c>
    </row>
    <row r="26" customFormat="false" ht="15" hidden="false" customHeight="false" outlineLevel="0" collapsed="false">
      <c r="B26" s="4" t="s">
        <v>195</v>
      </c>
    </row>
    <row r="27" customFormat="false" ht="15" hidden="false" customHeight="false" outlineLevel="0" collapsed="false">
      <c r="B27" s="6" t="s">
        <v>196</v>
      </c>
      <c r="C27" s="3" t="s">
        <v>197</v>
      </c>
      <c r="I27" s="69" t="n">
        <v>0.463</v>
      </c>
    </row>
    <row r="28" customFormat="false" ht="15" hidden="false" customHeight="false" outlineLevel="0" collapsed="false">
      <c r="B28" s="3" t="s">
        <v>198</v>
      </c>
      <c r="I28" s="14" t="n">
        <f aca="false">(1+Premissas!I17)/(1+I27)-1</f>
        <v>0.203007518796992</v>
      </c>
    </row>
    <row r="29" customFormat="false" ht="15" hidden="false" customHeight="false" outlineLevel="0" collapsed="false">
      <c r="B29" s="6" t="s">
        <v>199</v>
      </c>
      <c r="I29" s="69" t="n">
        <v>0.603</v>
      </c>
    </row>
    <row r="30" customFormat="false" ht="15" hidden="false" customHeight="false" outlineLevel="0" collapsed="false">
      <c r="B30" s="3" t="s">
        <v>200</v>
      </c>
      <c r="I30" s="14" t="n">
        <f aca="false">(1+Premissas!I35)/(1+I29)-1</f>
        <v>0.135371179039301</v>
      </c>
    </row>
    <row r="32" customFormat="false" ht="15" hidden="false" customHeight="false" outlineLevel="0" collapsed="false">
      <c r="B32" s="4" t="s">
        <v>201</v>
      </c>
    </row>
    <row r="33" customFormat="false" ht="15" hidden="false" customHeight="false" outlineLevel="0" collapsed="false">
      <c r="B33" s="6" t="s">
        <v>202</v>
      </c>
      <c r="C33" s="3" t="s">
        <v>203</v>
      </c>
      <c r="H33" s="24" t="n">
        <f aca="false">Premissas!$H$220</f>
        <v>0.815</v>
      </c>
      <c r="I33" s="59" t="n">
        <f aca="false">1-(1-H33)*(1+Premissas!I23)/(1+Premissas!I17)</f>
        <v>0.869659090909091</v>
      </c>
      <c r="J33" s="59" t="n">
        <f aca="false">1-(1-I33)*(1+Premissas!J23)/(1+Premissas!J17)</f>
        <v>0.869017017465293</v>
      </c>
      <c r="K33" s="59" t="n">
        <f aca="false">1-(1-J33)*(1+Premissas!K23)/(1+Premissas!K17)</f>
        <v>0.78438185951979</v>
      </c>
      <c r="L33" s="59" t="n">
        <f aca="false">1-(1-K33)*(1+Premissas!L23)/(1+Premissas!L17)</f>
        <v>0.698134603327707</v>
      </c>
      <c r="M33" s="59" t="n">
        <f aca="false">1-(1-L33)*(1+Premissas!M23)/(1+Premissas!M17)</f>
        <v>0.740851404743597</v>
      </c>
    </row>
    <row r="34" customFormat="false" ht="15" hidden="false" customHeight="false" outlineLevel="0" collapsed="false">
      <c r="B34" s="6" t="s">
        <v>204</v>
      </c>
      <c r="C34" s="3" t="s">
        <v>178</v>
      </c>
      <c r="H34" s="59" t="n">
        <f aca="false">(H40-H33*H6-H35*H8)/H7</f>
        <v>0.78591405979271</v>
      </c>
      <c r="I34" s="59" t="n">
        <f aca="false">1-(1-H34)*(1+Premissas!I41)/(1+Premissas!I35)</f>
        <v>0.865902213276753</v>
      </c>
      <c r="J34" s="59" t="n">
        <f aca="false">1-(1-I34)*(1+Premissas!J41)/(1+Premissas!J35)</f>
        <v>0.837406433598062</v>
      </c>
      <c r="K34" s="59" t="n">
        <f aca="false">1-(1-J34)*(1+Premissas!K41)/(1+Premissas!K35)</f>
        <v>0.712751366023244</v>
      </c>
      <c r="L34" s="59" t="n">
        <f aca="false">1-(1-K34)*(1+Premissas!L41)/(1+Premissas!L35)</f>
        <v>0.629600445661551</v>
      </c>
      <c r="M34" s="59" t="n">
        <f aca="false">1-(1-L34)*(1+Premissas!M41)/(1+Premissas!M35)</f>
        <v>0.687904079214825</v>
      </c>
    </row>
    <row r="35" customFormat="false" ht="15" hidden="false" customHeight="false" outlineLevel="0" collapsed="false">
      <c r="B35" s="6" t="s">
        <v>205</v>
      </c>
      <c r="H35" s="24" t="n">
        <f aca="false">Premissas!$H$221</f>
        <v>0.65</v>
      </c>
      <c r="I35" s="59" t="n">
        <f aca="false">H35</f>
        <v>0.65</v>
      </c>
      <c r="J35" s="59" t="n">
        <f aca="false">I35</f>
        <v>0.65</v>
      </c>
      <c r="K35" s="59" t="n">
        <f aca="false">J35</f>
        <v>0.65</v>
      </c>
      <c r="L35" s="59" t="n">
        <f aca="false">K35</f>
        <v>0.65</v>
      </c>
      <c r="M35" s="59" t="n">
        <f aca="false">L35</f>
        <v>0.65</v>
      </c>
    </row>
    <row r="36" customFormat="false" ht="15" hidden="false" customHeight="false" outlineLevel="0" collapsed="false">
      <c r="B36" s="6" t="s">
        <v>206</v>
      </c>
      <c r="H36" s="66" t="n">
        <f aca="false">H6*H33</f>
        <v>82080.28</v>
      </c>
      <c r="I36" s="66" t="n">
        <f aca="false">I6*I33</f>
        <v>177272.25528</v>
      </c>
      <c r="J36" s="66" t="n">
        <f aca="false">J6*J33</f>
        <v>204970.284237984</v>
      </c>
      <c r="K36" s="66" t="n">
        <f aca="false">K6*K33</f>
        <v>133483.166001912</v>
      </c>
      <c r="L36" s="66" t="n">
        <f aca="false">L6*L33</f>
        <v>90648.92541906</v>
      </c>
      <c r="M36" s="66" t="n">
        <f aca="false">M6*M33</f>
        <v>118281.945411679</v>
      </c>
    </row>
    <row r="37" customFormat="false" ht="15" hidden="false" customHeight="false" outlineLevel="0" collapsed="false">
      <c r="B37" s="6" t="s">
        <v>207</v>
      </c>
      <c r="H37" s="66" t="n">
        <f aca="false">H7*H34</f>
        <v>24947.27</v>
      </c>
      <c r="I37" s="66" t="n">
        <f aca="false">I7*I34</f>
        <v>59029.650804</v>
      </c>
      <c r="J37" s="66" t="n">
        <f aca="false">J7*J34</f>
        <v>53433.4857309396</v>
      </c>
      <c r="K37" s="66" t="n">
        <f aca="false">K7*K34</f>
        <v>30289.3184079406</v>
      </c>
      <c r="L37" s="66" t="n">
        <f aca="false">L7*L34</f>
        <v>22774.4597751822</v>
      </c>
      <c r="M37" s="66" t="n">
        <f aca="false">M7*M34</f>
        <v>31980.2356024719</v>
      </c>
    </row>
    <row r="38" customFormat="false" ht="15" hidden="false" customHeight="false" outlineLevel="0" collapsed="false">
      <c r="B38" s="6" t="s">
        <v>208</v>
      </c>
      <c r="H38" s="66" t="n">
        <f aca="false">H8*H35</f>
        <v>476.45</v>
      </c>
      <c r="I38" s="66" t="n">
        <f aca="false">I8*I35</f>
        <v>533.624</v>
      </c>
      <c r="J38" s="66" t="n">
        <f aca="false">J8*J35</f>
        <v>554.96896</v>
      </c>
      <c r="K38" s="66" t="n">
        <f aca="false">K8*K35</f>
        <v>488.3726848</v>
      </c>
      <c r="L38" s="66" t="n">
        <f aca="false">L8*L35</f>
        <v>449.302870016</v>
      </c>
      <c r="M38" s="66" t="n">
        <f aca="false">M8*M35</f>
        <v>480.75407091712</v>
      </c>
    </row>
    <row r="39" customFormat="false" ht="15" hidden="false" customHeight="false" outlineLevel="0" collapsed="false">
      <c r="B39" s="5" t="s">
        <v>209</v>
      </c>
      <c r="D39" s="67" t="n">
        <f aca="false">D40</f>
        <v>13898</v>
      </c>
      <c r="E39" s="67" t="n">
        <f aca="false">E40</f>
        <v>-1416</v>
      </c>
      <c r="F39" s="67" t="n">
        <f aca="false">F40</f>
        <v>5613</v>
      </c>
      <c r="G39" s="67" t="n">
        <f aca="false">G40</f>
        <v>14873</v>
      </c>
      <c r="H39" s="67" t="n">
        <f aca="false">SUM(H36:H38)</f>
        <v>107504</v>
      </c>
      <c r="I39" s="67" t="n">
        <f aca="false">SUM(I36:I38)</f>
        <v>236835.530084</v>
      </c>
      <c r="J39" s="67" t="n">
        <f aca="false">SUM(J36:J38)</f>
        <v>258958.738928924</v>
      </c>
      <c r="K39" s="67" t="n">
        <f aca="false">SUM(K36:K38)</f>
        <v>164260.857094652</v>
      </c>
      <c r="L39" s="67" t="n">
        <f aca="false">SUM(L36:L38)</f>
        <v>113872.688064258</v>
      </c>
      <c r="M39" s="67" t="n">
        <f aca="false">SUM(M36:M38)</f>
        <v>150742.935085068</v>
      </c>
    </row>
    <row r="40" customFormat="false" ht="15" hidden="false" customHeight="false" outlineLevel="0" collapsed="false">
      <c r="B40" s="3" t="s">
        <v>210</v>
      </c>
      <c r="D40" s="64" t="n">
        <v>13898</v>
      </c>
      <c r="E40" s="64" t="n">
        <v>-1416</v>
      </c>
      <c r="F40" s="64" t="n">
        <v>5613</v>
      </c>
      <c r="G40" s="64" t="n">
        <v>14873</v>
      </c>
      <c r="H40" s="64" t="n">
        <v>107504</v>
      </c>
    </row>
    <row r="41" customFormat="false" ht="15" hidden="false" customHeight="false" outlineLevel="0" collapsed="false">
      <c r="B41" s="5" t="s">
        <v>211</v>
      </c>
      <c r="D41" s="60" t="n">
        <f aca="false">D39/D9</f>
        <v>0.451849925222706</v>
      </c>
      <c r="E41" s="60" t="n">
        <f aca="false">E39/E9</f>
        <v>-0.0911196911196911</v>
      </c>
      <c r="F41" s="60" t="n">
        <f aca="false">F39/F9</f>
        <v>0.223527537732468</v>
      </c>
      <c r="G41" s="60" t="n">
        <f aca="false">G39/G9</f>
        <v>0.397907860238643</v>
      </c>
      <c r="H41" s="60" t="n">
        <f aca="false">H39/H9</f>
        <v>0.807159804186563</v>
      </c>
      <c r="I41" s="60" t="n">
        <f aca="false">I39/I9</f>
        <v>0.868059423965918</v>
      </c>
      <c r="J41" s="60" t="n">
        <f aca="false">J39/J9</f>
        <v>0.861683177531501</v>
      </c>
      <c r="K41" s="60" t="n">
        <f aca="false">K39/K9</f>
        <v>0.769645929688608</v>
      </c>
      <c r="L41" s="60" t="n">
        <f aca="false">L39/L9</f>
        <v>0.683064294352521</v>
      </c>
      <c r="M41" s="60" t="n">
        <f aca="false">M39/M9</f>
        <v>0.728628795051084</v>
      </c>
    </row>
    <row r="43" customFormat="false" ht="15" hidden="false" customHeight="false" outlineLevel="0" collapsed="false">
      <c r="B43" s="4" t="s">
        <v>212</v>
      </c>
    </row>
    <row r="44" customFormat="false" ht="15" hidden="false" customHeight="false" outlineLevel="0" collapsed="false">
      <c r="B44" s="6" t="s">
        <v>213</v>
      </c>
      <c r="C44" s="3" t="s">
        <v>203</v>
      </c>
      <c r="I44" s="64" t="n">
        <v>130000</v>
      </c>
      <c r="J44" s="64" t="n">
        <v>200000</v>
      </c>
      <c r="K44" s="64" t="n">
        <v>170000</v>
      </c>
      <c r="L44" s="64" t="n">
        <v>150000</v>
      </c>
      <c r="M44" s="64" t="n">
        <v>170000</v>
      </c>
    </row>
    <row r="45" customFormat="false" ht="15" hidden="false" customHeight="false" outlineLevel="0" collapsed="false">
      <c r="B45" s="6" t="s">
        <v>214</v>
      </c>
      <c r="I45" s="8" t="n">
        <v>0.2</v>
      </c>
      <c r="J45" s="8" t="n">
        <v>0.2</v>
      </c>
      <c r="K45" s="8" t="n">
        <v>0.19</v>
      </c>
      <c r="L45" s="8" t="n">
        <v>0.19</v>
      </c>
      <c r="M45" s="8" t="n">
        <v>0.19</v>
      </c>
    </row>
    <row r="46" customFormat="false" ht="15" hidden="false" customHeight="false" outlineLevel="0" collapsed="false">
      <c r="B46" s="5" t="s">
        <v>215</v>
      </c>
      <c r="I46" s="67" t="n">
        <f aca="false">I44*I45</f>
        <v>26000</v>
      </c>
      <c r="J46" s="67" t="n">
        <f aca="false">J44*J45</f>
        <v>40000</v>
      </c>
      <c r="K46" s="67" t="n">
        <f aca="false">K44*K45</f>
        <v>32300</v>
      </c>
      <c r="L46" s="67" t="n">
        <f aca="false">L44*L45</f>
        <v>28500</v>
      </c>
      <c r="M46" s="67" t="n">
        <f aca="false">M44*M45</f>
        <v>32300</v>
      </c>
    </row>
    <row r="47" customFormat="false" ht="15" hidden="false" customHeight="false" outlineLevel="0" collapsed="false">
      <c r="B47" s="3" t="s">
        <v>216</v>
      </c>
      <c r="I47" s="14" t="n">
        <f aca="false">I46/I6</f>
        <v>0.127550339605723</v>
      </c>
      <c r="J47" s="14" t="n">
        <f aca="false">J46/J6</f>
        <v>0.169588878835979</v>
      </c>
      <c r="K47" s="14" t="n">
        <f aca="false">K46/K6</f>
        <v>0.189803215052049</v>
      </c>
      <c r="L47" s="14" t="n">
        <f aca="false">L46/L6</f>
        <v>0.219493348684044</v>
      </c>
      <c r="M47" s="14" t="n">
        <f aca="false">M46/M6</f>
        <v>0.202308985449401</v>
      </c>
    </row>
    <row r="48" customFormat="false" ht="15" hidden="false" customHeight="false" outlineLevel="0" collapsed="false">
      <c r="B48" s="6" t="s">
        <v>217</v>
      </c>
      <c r="I48" s="66" t="n">
        <f aca="false">I6-I46</f>
        <v>177841.088</v>
      </c>
      <c r="J48" s="66" t="n">
        <f aca="false">J6-J46</f>
        <v>195864.5229248</v>
      </c>
      <c r="K48" s="66" t="n">
        <f aca="false">K6-K46</f>
        <v>137876.253290243</v>
      </c>
      <c r="L48" s="66" t="n">
        <f aca="false">L6-L46</f>
        <v>101344.481260456</v>
      </c>
      <c r="M48" s="66" t="n">
        <f aca="false">M6-M46</f>
        <v>127356.774157856</v>
      </c>
    </row>
    <row r="49" customFormat="false" ht="15" hidden="false" customHeight="false" outlineLevel="0" collapsed="false">
      <c r="B49" s="6" t="s">
        <v>218</v>
      </c>
      <c r="I49" s="8" t="n">
        <v>0.07</v>
      </c>
      <c r="J49" s="8" t="n">
        <v>0.05</v>
      </c>
      <c r="K49" s="8" t="n">
        <v>0.03</v>
      </c>
      <c r="L49" s="8" t="n">
        <v>0.02</v>
      </c>
      <c r="M49" s="8" t="n">
        <v>0.01</v>
      </c>
    </row>
    <row r="50" customFormat="false" ht="15" hidden="false" customHeight="false" outlineLevel="0" collapsed="false">
      <c r="B50" s="3" t="s">
        <v>219</v>
      </c>
      <c r="I50" s="14" t="n">
        <f aca="false">I33+I49*I46/I6</f>
        <v>0.878587614681492</v>
      </c>
      <c r="J50" s="14" t="n">
        <f aca="false">J33+J49*J46/J6</f>
        <v>0.877496461407092</v>
      </c>
      <c r="K50" s="14" t="n">
        <f aca="false">K33+K49*K46/K6</f>
        <v>0.790075955971352</v>
      </c>
      <c r="L50" s="14" t="n">
        <f aca="false">L33+L49*L46/L6</f>
        <v>0.702524470301388</v>
      </c>
      <c r="M50" s="14" t="n">
        <f aca="false">M33+M49*M46/M6</f>
        <v>0.742874494598091</v>
      </c>
    </row>
    <row r="51" customFormat="false" ht="15" hidden="false" customHeight="false" outlineLevel="0" collapsed="false">
      <c r="B51" s="3" t="s">
        <v>220</v>
      </c>
      <c r="I51" s="14" t="n">
        <f aca="false">I50-I49</f>
        <v>0.808587614681491</v>
      </c>
      <c r="J51" s="14" t="n">
        <f aca="false">J50-J49</f>
        <v>0.827496461407092</v>
      </c>
      <c r="K51" s="14" t="n">
        <f aca="false">K50-K49</f>
        <v>0.760075955971352</v>
      </c>
      <c r="L51" s="14" t="n">
        <f aca="false">L50-L49</f>
        <v>0.682524470301388</v>
      </c>
      <c r="M51" s="14" t="n">
        <f aca="false">M50-M49</f>
        <v>0.732874494598091</v>
      </c>
    </row>
    <row r="52" customFormat="false" ht="15" hidden="false" customHeight="false" outlineLevel="0" collapsed="false">
      <c r="B52" s="6" t="s">
        <v>221</v>
      </c>
      <c r="C52" s="3" t="s">
        <v>222</v>
      </c>
      <c r="F52" s="70" t="s">
        <v>223</v>
      </c>
      <c r="G52" s="70" t="s">
        <v>224</v>
      </c>
      <c r="H52" s="70" t="s">
        <v>225</v>
      </c>
    </row>
    <row r="54" customFormat="false" ht="15" hidden="false" customHeight="false" outlineLevel="0" collapsed="false">
      <c r="B54" s="4" t="s">
        <v>226</v>
      </c>
    </row>
    <row r="55" customFormat="false" ht="15" hidden="false" customHeight="false" outlineLevel="0" collapsed="false">
      <c r="B55" s="6" t="s">
        <v>227</v>
      </c>
      <c r="C55" s="3" t="s">
        <v>228</v>
      </c>
      <c r="F55" s="29" t="s">
        <v>229</v>
      </c>
      <c r="G55" s="29" t="s">
        <v>229</v>
      </c>
      <c r="H55" s="64" t="n">
        <v>43101</v>
      </c>
      <c r="I55" s="66" t="n">
        <f aca="false">I60*I9</f>
        <v>87306.660736</v>
      </c>
      <c r="J55" s="66" t="n">
        <f aca="false">J60*J9</f>
        <v>102179.053196864</v>
      </c>
    </row>
    <row r="56" customFormat="false" ht="15" hidden="false" customHeight="false" outlineLevel="0" collapsed="false">
      <c r="B56" s="6" t="s">
        <v>230</v>
      </c>
      <c r="F56" s="29" t="s">
        <v>229</v>
      </c>
      <c r="G56" s="29" t="s">
        <v>229</v>
      </c>
      <c r="H56" s="64" t="n">
        <v>37595</v>
      </c>
      <c r="I56" s="66" t="n">
        <f aca="false">I61*I9</f>
        <v>87306.660736</v>
      </c>
      <c r="J56" s="66" t="n">
        <f aca="false">J61*J9</f>
        <v>93163.254385376</v>
      </c>
    </row>
    <row r="57" customFormat="false" ht="15" hidden="false" customHeight="false" outlineLevel="0" collapsed="false">
      <c r="B57" s="6" t="s">
        <v>231</v>
      </c>
      <c r="F57" s="29" t="s">
        <v>229</v>
      </c>
      <c r="G57" s="29" t="s">
        <v>229</v>
      </c>
      <c r="H57" s="64" t="n">
        <v>36635</v>
      </c>
      <c r="I57" s="66" t="n">
        <f aca="false">I62*I9</f>
        <v>65479.995552</v>
      </c>
      <c r="J57" s="66" t="n">
        <f aca="false">J62*J9</f>
        <v>69121.124221408</v>
      </c>
    </row>
    <row r="58" customFormat="false" ht="15" hidden="false" customHeight="false" outlineLevel="0" collapsed="false">
      <c r="B58" s="6" t="s">
        <v>232</v>
      </c>
      <c r="F58" s="29" t="s">
        <v>229</v>
      </c>
      <c r="G58" s="29" t="s">
        <v>229</v>
      </c>
      <c r="H58" s="64" t="n">
        <v>15857</v>
      </c>
      <c r="I58" s="66" t="n">
        <f aca="false">I63*I9</f>
        <v>32739.997776</v>
      </c>
      <c r="J58" s="66" t="n">
        <f aca="false">J63*J9</f>
        <v>36063.195245952</v>
      </c>
    </row>
    <row r="59" customFormat="false" ht="15" hidden="false" customHeight="false" outlineLevel="0" collapsed="false">
      <c r="B59" s="5" t="s">
        <v>233</v>
      </c>
      <c r="H59" s="67" t="n">
        <f aca="false">SUM(H55:H58)</f>
        <v>133188</v>
      </c>
      <c r="I59" s="67" t="n">
        <f aca="false">SUM(I55:I58)</f>
        <v>272833.3148</v>
      </c>
      <c r="J59" s="67" t="n">
        <f aca="false">SUM(J55:J58)</f>
        <v>300526.6270496</v>
      </c>
    </row>
    <row r="60" customFormat="false" ht="15" hidden="false" customHeight="false" outlineLevel="0" collapsed="false">
      <c r="B60" s="3" t="s">
        <v>234</v>
      </c>
      <c r="H60" s="14" t="n">
        <f aca="false">H55/H59</f>
        <v>0.32361023515632</v>
      </c>
      <c r="I60" s="8" t="n">
        <v>0.32</v>
      </c>
      <c r="J60" s="8" t="n">
        <v>0.34</v>
      </c>
    </row>
    <row r="61" customFormat="false" ht="15" hidden="false" customHeight="false" outlineLevel="0" collapsed="false">
      <c r="B61" s="3" t="s">
        <v>235</v>
      </c>
      <c r="H61" s="14" t="n">
        <f aca="false">H56/H59</f>
        <v>0.282270174490194</v>
      </c>
      <c r="I61" s="8" t="n">
        <v>0.32</v>
      </c>
      <c r="J61" s="8" t="n">
        <v>0.31</v>
      </c>
    </row>
    <row r="62" customFormat="false" ht="15" hidden="false" customHeight="false" outlineLevel="0" collapsed="false">
      <c r="B62" s="3" t="s">
        <v>236</v>
      </c>
      <c r="H62" s="14" t="n">
        <f aca="false">H57/H59</f>
        <v>0.27506231792654</v>
      </c>
      <c r="I62" s="8" t="n">
        <v>0.24</v>
      </c>
      <c r="J62" s="8" t="n">
        <v>0.23</v>
      </c>
    </row>
    <row r="63" customFormat="false" ht="15" hidden="false" customHeight="false" outlineLevel="0" collapsed="false">
      <c r="B63" s="3" t="s">
        <v>237</v>
      </c>
      <c r="H63" s="14" t="n">
        <f aca="false">H58/H59</f>
        <v>0.119057272426945</v>
      </c>
      <c r="I63" s="8" t="n">
        <v>0.12</v>
      </c>
      <c r="J63" s="8" t="n">
        <v>0.12</v>
      </c>
    </row>
    <row r="65" customFormat="false" ht="15" hidden="false" customHeight="false" outlineLevel="0" collapsed="false">
      <c r="B65" s="5" t="s">
        <v>238</v>
      </c>
      <c r="D65" s="5" t="str">
        <f aca="false">IF(SUMPRODUCT(ABS(D11:M11))&lt;0.5,"ok","ERRO")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4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239</v>
      </c>
    </row>
    <row r="2" customFormat="false" ht="15" hidden="false" customHeight="false" outlineLevel="0" collapsed="false">
      <c r="B2" s="3" t="s">
        <v>240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</row>
    <row r="5" customFormat="false" ht="15" hidden="false" customHeight="false" outlineLevel="0" collapsed="false">
      <c r="B5" s="5" t="s">
        <v>37</v>
      </c>
      <c r="D5" s="23" t="n">
        <f aca="false">Operacional!D9</f>
        <v>30758</v>
      </c>
      <c r="E5" s="23" t="n">
        <f aca="false">Operacional!E9</f>
        <v>15540</v>
      </c>
      <c r="F5" s="23" t="n">
        <f aca="false">Operacional!F9</f>
        <v>25111</v>
      </c>
      <c r="G5" s="23" t="n">
        <f aca="false">Operacional!G9</f>
        <v>37378</v>
      </c>
      <c r="H5" s="23" t="n">
        <f aca="false">Operacional!H9</f>
        <v>133188</v>
      </c>
      <c r="I5" s="23" t="n">
        <f aca="false">Operacional!I9</f>
        <v>272833.3148</v>
      </c>
      <c r="J5" s="23" t="n">
        <f aca="false">Operacional!J9</f>
        <v>300526.6270496</v>
      </c>
      <c r="K5" s="23" t="n">
        <f aca="false">Operacional!K9</f>
        <v>213423.92749496</v>
      </c>
      <c r="L5" s="23" t="n">
        <f aca="false">Operacional!L9</f>
        <v>166708.59391384</v>
      </c>
      <c r="M5" s="23" t="n">
        <f aca="false">Operacional!M9</f>
        <v>206885.777928251</v>
      </c>
    </row>
    <row r="6" customFormat="false" ht="15" hidden="false" customHeight="false" outlineLevel="0" collapsed="false">
      <c r="B6" s="3" t="s">
        <v>38</v>
      </c>
      <c r="E6" s="14" t="n">
        <f aca="false">IFERROR(E5/D5-1,"")</f>
        <v>-0.494765589440146</v>
      </c>
      <c r="F6" s="14" t="n">
        <f aca="false">IFERROR(F5/E5-1,"")</f>
        <v>0.615894465894466</v>
      </c>
      <c r="G6" s="14" t="n">
        <f aca="false">IFERROR(G5/F5-1,"")</f>
        <v>0.488511011110669</v>
      </c>
      <c r="H6" s="14" t="n">
        <f aca="false">IFERROR(H5/G5-1,"")</f>
        <v>2.56327251324308</v>
      </c>
      <c r="I6" s="14" t="n">
        <f aca="false">IFERROR(I5/H5-1,"")</f>
        <v>1.04848270715079</v>
      </c>
      <c r="J6" s="14" t="n">
        <f aca="false">IFERROR(J5/I5-1,"")</f>
        <v>0.101502678548991</v>
      </c>
      <c r="K6" s="14" t="n">
        <f aca="false">IFERROR(K5/J5-1,"")</f>
        <v>-0.289833551222282</v>
      </c>
      <c r="L6" s="14" t="n">
        <f aca="false">IFERROR(L5/K5-1,"")</f>
        <v>-0.218885174354328</v>
      </c>
      <c r="M6" s="14" t="n">
        <f aca="false">IFERROR(M5/L5-1,"")</f>
        <v>0.241002476664017</v>
      </c>
    </row>
    <row r="7" customFormat="false" ht="15" hidden="false" customHeight="false" outlineLevel="0" collapsed="false">
      <c r="B7" s="6" t="s">
        <v>241</v>
      </c>
      <c r="C7" s="3" t="s">
        <v>175</v>
      </c>
      <c r="D7" s="64" t="n">
        <v>-16860</v>
      </c>
      <c r="E7" s="64" t="n">
        <v>-16956</v>
      </c>
      <c r="F7" s="64" t="n">
        <v>-19498</v>
      </c>
      <c r="G7" s="64" t="n">
        <v>-22505</v>
      </c>
      <c r="H7" s="64" t="n">
        <v>-25684</v>
      </c>
      <c r="I7" s="66" t="n">
        <f aca="false">-(I5-Operacional!I39)</f>
        <v>-35997.784716</v>
      </c>
      <c r="J7" s="66" t="n">
        <f aca="false">-(J5-Operacional!J39)</f>
        <v>-41567.8881206765</v>
      </c>
      <c r="K7" s="66" t="n">
        <f aca="false">-(K5-Operacional!K39)</f>
        <v>-49163.0704003075</v>
      </c>
      <c r="L7" s="66" t="n">
        <f aca="false">-(L5-Operacional!L39)</f>
        <v>-52835.9058495819</v>
      </c>
      <c r="M7" s="66" t="n">
        <f aca="false">-(M5-Operacional!M39)</f>
        <v>-56142.8428431835</v>
      </c>
    </row>
    <row r="8" customFormat="false" ht="15" hidden="false" customHeight="false" outlineLevel="0" collapsed="false">
      <c r="B8" s="5" t="s">
        <v>242</v>
      </c>
      <c r="D8" s="67" t="n">
        <f aca="false">D5+D7</f>
        <v>13898</v>
      </c>
      <c r="E8" s="67" t="n">
        <f aca="false">E5+E7</f>
        <v>-1416</v>
      </c>
      <c r="F8" s="67" t="n">
        <f aca="false">F5+F7</f>
        <v>5613</v>
      </c>
      <c r="G8" s="67" t="n">
        <f aca="false">G5+G7</f>
        <v>14873</v>
      </c>
      <c r="H8" s="67" t="n">
        <f aca="false">H5+H7</f>
        <v>107504</v>
      </c>
      <c r="I8" s="67" t="n">
        <f aca="false">I5+I7</f>
        <v>236835.530084</v>
      </c>
      <c r="J8" s="67" t="n">
        <f aca="false">J5+J7</f>
        <v>258958.738928924</v>
      </c>
      <c r="K8" s="67" t="n">
        <f aca="false">K5+K7</f>
        <v>164260.857094652</v>
      </c>
      <c r="L8" s="67" t="n">
        <f aca="false">L5+L7</f>
        <v>113872.688064258</v>
      </c>
      <c r="M8" s="67" t="n">
        <f aca="false">M5+M7</f>
        <v>150742.935085068</v>
      </c>
    </row>
    <row r="9" customFormat="false" ht="15" hidden="false" customHeight="false" outlineLevel="0" collapsed="false">
      <c r="B9" s="3" t="s">
        <v>243</v>
      </c>
      <c r="D9" s="14" t="n">
        <f aca="false">D8/D5</f>
        <v>0.451849925222706</v>
      </c>
      <c r="E9" s="14" t="n">
        <f aca="false">E8/E5</f>
        <v>-0.0911196911196911</v>
      </c>
      <c r="F9" s="14" t="n">
        <f aca="false">F8/F5</f>
        <v>0.223527537732468</v>
      </c>
      <c r="G9" s="14" t="n">
        <f aca="false">G8/G5</f>
        <v>0.397907860238643</v>
      </c>
      <c r="H9" s="14" t="n">
        <f aca="false">H8/H5</f>
        <v>0.807159804186563</v>
      </c>
      <c r="I9" s="14" t="n">
        <f aca="false">I8/I5</f>
        <v>0.868059423965918</v>
      </c>
      <c r="J9" s="14" t="n">
        <f aca="false">J8/J5</f>
        <v>0.861683177531501</v>
      </c>
      <c r="K9" s="14" t="n">
        <f aca="false">K8/K5</f>
        <v>0.769645929688608</v>
      </c>
      <c r="L9" s="14" t="n">
        <f aca="false">L8/L5</f>
        <v>0.683064294352521</v>
      </c>
      <c r="M9" s="14" t="n">
        <f aca="false">M8/M5</f>
        <v>0.728628795051084</v>
      </c>
    </row>
    <row r="10" customFormat="false" ht="15" hidden="false" customHeight="false" outlineLevel="0" collapsed="false">
      <c r="B10" s="6" t="s">
        <v>244</v>
      </c>
      <c r="D10" s="64" t="n">
        <v>-3116</v>
      </c>
      <c r="E10" s="64" t="n">
        <v>-3114</v>
      </c>
      <c r="F10" s="64" t="n">
        <v>-3430</v>
      </c>
      <c r="G10" s="64" t="n">
        <v>-3798</v>
      </c>
      <c r="H10" s="64" t="n">
        <v>-5650</v>
      </c>
      <c r="I10" s="66" t="n">
        <f aca="false">H10*(1+Premissas!I53)</f>
        <v>-7458</v>
      </c>
      <c r="J10" s="66" t="n">
        <f aca="false">I10*(1+Premissas!J53)</f>
        <v>-8427.54</v>
      </c>
      <c r="K10" s="66" t="n">
        <f aca="false">J10*(1+Premissas!K53)</f>
        <v>-8680.3662</v>
      </c>
      <c r="L10" s="66" t="n">
        <f aca="false">K10*(1+Premissas!L53)</f>
        <v>-8506.758876</v>
      </c>
      <c r="M10" s="66" t="n">
        <f aca="false">L10*(1+Premissas!M53)</f>
        <v>-9017.16440856</v>
      </c>
    </row>
    <row r="11" customFormat="false" ht="15" hidden="false" customHeight="false" outlineLevel="0" collapsed="false">
      <c r="B11" s="6" t="s">
        <v>245</v>
      </c>
      <c r="D11" s="64" t="n">
        <v>-1066</v>
      </c>
      <c r="E11" s="64" t="n">
        <v>-920</v>
      </c>
      <c r="F11" s="64" t="n">
        <v>-1129</v>
      </c>
      <c r="G11" s="64" t="n">
        <v>-1205</v>
      </c>
      <c r="H11" s="64" t="n">
        <v>-1947</v>
      </c>
      <c r="I11" s="66" t="n">
        <f aca="false">H11*(1+Premissas!I59)</f>
        <v>-2433.75</v>
      </c>
      <c r="J11" s="66" t="n">
        <f aca="false">I11*(1+Premissas!J59)</f>
        <v>-2652.7875</v>
      </c>
      <c r="K11" s="66" t="n">
        <f aca="false">J11*(1+Premissas!K59)</f>
        <v>-2626.259625</v>
      </c>
      <c r="L11" s="66" t="n">
        <f aca="false">K11*(1+Premissas!L59)</f>
        <v>-2494.94664375</v>
      </c>
      <c r="M11" s="66" t="n">
        <f aca="false">L11*(1+Premissas!M59)</f>
        <v>-2619.6939759375</v>
      </c>
    </row>
    <row r="12" customFormat="false" ht="15" hidden="false" customHeight="false" outlineLevel="0" collapsed="false">
      <c r="B12" s="6" t="s">
        <v>246</v>
      </c>
      <c r="D12" s="64" t="n">
        <v>-14</v>
      </c>
      <c r="E12" s="64" t="n">
        <v>-295</v>
      </c>
      <c r="F12" s="64" t="n">
        <v>250</v>
      </c>
      <c r="G12" s="64" t="n">
        <v>-100</v>
      </c>
      <c r="H12" s="64" t="n">
        <v>-567</v>
      </c>
      <c r="I12" s="66" t="n">
        <f aca="false">0</f>
        <v>0</v>
      </c>
      <c r="J12" s="66" t="n">
        <f aca="false">0</f>
        <v>0</v>
      </c>
      <c r="K12" s="66" t="n">
        <f aca="false">0</f>
        <v>0</v>
      </c>
      <c r="L12" s="66" t="n">
        <f aca="false">0</f>
        <v>0</v>
      </c>
      <c r="M12" s="66" t="n">
        <f aca="false">0</f>
        <v>0</v>
      </c>
    </row>
    <row r="13" customFormat="false" ht="15" hidden="false" customHeight="false" outlineLevel="0" collapsed="false">
      <c r="B13" s="5" t="s">
        <v>42</v>
      </c>
      <c r="D13" s="67" t="n">
        <f aca="false">D8+D10+D11+D12</f>
        <v>9702</v>
      </c>
      <c r="E13" s="67" t="n">
        <f aca="false">E8+E10+E11+E12</f>
        <v>-5745</v>
      </c>
      <c r="F13" s="67" t="n">
        <f aca="false">F8+F10+F11+F12</f>
        <v>1304</v>
      </c>
      <c r="G13" s="67" t="n">
        <f aca="false">G8+G10+G11+G12</f>
        <v>9770</v>
      </c>
      <c r="H13" s="67" t="n">
        <f aca="false">H8+H10+H11+H12</f>
        <v>99340</v>
      </c>
      <c r="I13" s="67" t="n">
        <f aca="false">I8+I10+I11+I12</f>
        <v>226943.780084</v>
      </c>
      <c r="J13" s="67" t="n">
        <f aca="false">J8+J10+J11+J12</f>
        <v>247878.411428924</v>
      </c>
      <c r="K13" s="67" t="n">
        <f aca="false">K8+K10+K11+K12</f>
        <v>152954.231269653</v>
      </c>
      <c r="L13" s="67" t="n">
        <f aca="false">L8+L10+L11+L12</f>
        <v>102870.982544508</v>
      </c>
      <c r="M13" s="67" t="n">
        <f aca="false">M8+M10+M11+M12</f>
        <v>139106.07670057</v>
      </c>
    </row>
    <row r="14" customFormat="false" ht="15" hidden="false" customHeight="false" outlineLevel="0" collapsed="false">
      <c r="B14" s="3" t="s">
        <v>247</v>
      </c>
      <c r="D14" s="14" t="n">
        <f aca="false">D13/D5</f>
        <v>0.315430131998179</v>
      </c>
      <c r="E14" s="14" t="n">
        <f aca="false">E13/E5</f>
        <v>-0.36969111969112</v>
      </c>
      <c r="F14" s="14" t="n">
        <f aca="false">F13/F5</f>
        <v>0.0519294333160766</v>
      </c>
      <c r="G14" s="14" t="n">
        <f aca="false">G13/G5</f>
        <v>0.261383701642678</v>
      </c>
      <c r="H14" s="14" t="n">
        <f aca="false">H13/H5</f>
        <v>0.745862990659819</v>
      </c>
      <c r="I14" s="14" t="n">
        <f aca="false">I13/I5</f>
        <v>0.831803770922773</v>
      </c>
      <c r="J14" s="14" t="n">
        <f aca="false">J13/J5</f>
        <v>0.824813474474636</v>
      </c>
      <c r="K14" s="14" t="n">
        <f aca="false">K13/K5</f>
        <v>0.716668618485922</v>
      </c>
      <c r="L14" s="14" t="n">
        <f aca="false">L13/L5</f>
        <v>0.617070662821828</v>
      </c>
      <c r="M14" s="14" t="n">
        <f aca="false">M13/M5</f>
        <v>0.672381050517706</v>
      </c>
    </row>
    <row r="15" customFormat="false" ht="15" hidden="false" customHeight="false" outlineLevel="0" collapsed="false">
      <c r="B15" s="6" t="s">
        <v>248</v>
      </c>
      <c r="C15" s="3" t="s">
        <v>249</v>
      </c>
      <c r="D15" s="64" t="n">
        <v>7116</v>
      </c>
      <c r="E15" s="64" t="n">
        <v>7756</v>
      </c>
      <c r="F15" s="64" t="n">
        <v>7780</v>
      </c>
      <c r="G15" s="64" t="n">
        <v>8352</v>
      </c>
      <c r="H15" s="64" t="n">
        <v>9503</v>
      </c>
      <c r="I15" s="25" t="n">
        <f aca="false">-Suporte!I10</f>
        <v>12472.07</v>
      </c>
      <c r="J15" s="25" t="n">
        <f aca="false">-Suporte!J10</f>
        <v>16968.25845</v>
      </c>
      <c r="K15" s="25" t="n">
        <f aca="false">-Suporte!K10</f>
        <v>23019.147448</v>
      </c>
      <c r="L15" s="25" t="n">
        <f aca="false">-Suporte!L10</f>
        <v>27004.58909734</v>
      </c>
      <c r="M15" s="25" t="n">
        <f aca="false">-Suporte!M10</f>
        <v>29132.2683008388</v>
      </c>
    </row>
    <row r="16" customFormat="false" ht="15" hidden="false" customHeight="false" outlineLevel="0" collapsed="false">
      <c r="B16" s="5" t="s">
        <v>40</v>
      </c>
      <c r="D16" s="67" t="n">
        <f aca="false">D13+D15</f>
        <v>16818</v>
      </c>
      <c r="E16" s="67" t="n">
        <f aca="false">E13+E15</f>
        <v>2011</v>
      </c>
      <c r="F16" s="67" t="n">
        <f aca="false">F13+F15</f>
        <v>9084</v>
      </c>
      <c r="G16" s="67" t="n">
        <f aca="false">G13+G15</f>
        <v>18122</v>
      </c>
      <c r="H16" s="67" t="n">
        <f aca="false">H13+H15</f>
        <v>108843</v>
      </c>
      <c r="I16" s="67" t="n">
        <f aca="false">I13+I15</f>
        <v>239415.850084</v>
      </c>
      <c r="J16" s="67" t="n">
        <f aca="false">J13+J15</f>
        <v>264846.669878924</v>
      </c>
      <c r="K16" s="67" t="n">
        <f aca="false">K13+K15</f>
        <v>175973.378717653</v>
      </c>
      <c r="L16" s="67" t="n">
        <f aca="false">L13+L15</f>
        <v>129875.571641848</v>
      </c>
      <c r="M16" s="67" t="n">
        <f aca="false">M13+M15</f>
        <v>168238.345001409</v>
      </c>
    </row>
    <row r="17" customFormat="false" ht="15" hidden="false" customHeight="false" outlineLevel="0" collapsed="false">
      <c r="B17" s="3" t="s">
        <v>41</v>
      </c>
      <c r="D17" s="14" t="n">
        <f aca="false">D16/D5</f>
        <v>0.546784576370375</v>
      </c>
      <c r="E17" s="14" t="n">
        <f aca="false">E16/E5</f>
        <v>0.129407979407979</v>
      </c>
      <c r="F17" s="14" t="n">
        <f aca="false">F16/F5</f>
        <v>0.361753813069969</v>
      </c>
      <c r="G17" s="14" t="n">
        <f aca="false">G16/G5</f>
        <v>0.484830649044893</v>
      </c>
      <c r="H17" s="14" t="n">
        <f aca="false">H16/H5</f>
        <v>0.817213262456077</v>
      </c>
      <c r="I17" s="14" t="n">
        <f aca="false">I16/I5</f>
        <v>0.877516920026806</v>
      </c>
      <c r="J17" s="14" t="n">
        <f aca="false">J16/J5</f>
        <v>0.881275221696786</v>
      </c>
      <c r="K17" s="14" t="n">
        <f aca="false">K16/K5</f>
        <v>0.824525069813497</v>
      </c>
      <c r="L17" s="14" t="n">
        <f aca="false">L16/L5</f>
        <v>0.779057447446121</v>
      </c>
      <c r="M17" s="14" t="n">
        <f aca="false">M16/M5</f>
        <v>0.813194346591358</v>
      </c>
    </row>
    <row r="18" customFormat="false" ht="15" hidden="false" customHeight="false" outlineLevel="0" collapsed="false">
      <c r="B18" s="6" t="s">
        <v>250</v>
      </c>
      <c r="D18" s="64" t="n">
        <v>96</v>
      </c>
      <c r="E18" s="64" t="n">
        <v>468</v>
      </c>
      <c r="F18" s="64" t="n">
        <v>529</v>
      </c>
      <c r="G18" s="64" t="n">
        <v>496</v>
      </c>
      <c r="H18" s="64" t="n">
        <v>1084</v>
      </c>
      <c r="I18" s="25" t="n">
        <f aca="false">Suporte!I39</f>
        <v>3158.479</v>
      </c>
      <c r="J18" s="25" t="n">
        <f aca="false">Suporte!J39</f>
        <v>3280</v>
      </c>
      <c r="K18" s="25" t="n">
        <f aca="false">Suporte!K39</f>
        <v>1900</v>
      </c>
      <c r="L18" s="25" t="n">
        <f aca="false">Suporte!L39</f>
        <v>1620</v>
      </c>
      <c r="M18" s="25" t="n">
        <f aca="false">Suporte!M39</f>
        <v>1620</v>
      </c>
    </row>
    <row r="19" customFormat="false" ht="15" hidden="false" customHeight="false" outlineLevel="0" collapsed="false">
      <c r="B19" s="6" t="s">
        <v>251</v>
      </c>
      <c r="D19" s="64" t="n">
        <v>-189</v>
      </c>
      <c r="E19" s="64" t="n">
        <v>-388</v>
      </c>
      <c r="F19" s="64" t="n">
        <v>-562</v>
      </c>
      <c r="G19" s="64" t="n">
        <v>-477</v>
      </c>
      <c r="H19" s="64" t="n">
        <v>-106</v>
      </c>
      <c r="I19" s="25" t="n">
        <f aca="false">Suporte!I36</f>
        <v>-221.805</v>
      </c>
      <c r="J19" s="25" t="n">
        <f aca="false">Suporte!J36</f>
        <v>-199.305</v>
      </c>
      <c r="K19" s="25" t="n">
        <f aca="false">Suporte!K36</f>
        <v>-176.805</v>
      </c>
      <c r="L19" s="25" t="n">
        <f aca="false">Suporte!L36</f>
        <v>-154.305</v>
      </c>
      <c r="M19" s="25" t="n">
        <f aca="false">Suporte!M36</f>
        <v>-128.365712600489</v>
      </c>
    </row>
    <row r="20" customFormat="false" ht="15" hidden="false" customHeight="false" outlineLevel="0" collapsed="false">
      <c r="B20" s="6" t="s">
        <v>252</v>
      </c>
      <c r="D20" s="66" t="n">
        <f aca="false">D18+D19</f>
        <v>-93</v>
      </c>
      <c r="E20" s="66" t="n">
        <f aca="false">E18+E19</f>
        <v>80</v>
      </c>
      <c r="F20" s="66" t="n">
        <f aca="false">F18+F19</f>
        <v>-33</v>
      </c>
      <c r="G20" s="66" t="n">
        <f aca="false">G18+G19</f>
        <v>19</v>
      </c>
      <c r="H20" s="66" t="n">
        <f aca="false">H18+H19</f>
        <v>978</v>
      </c>
      <c r="I20" s="66" t="n">
        <f aca="false">I18+I19</f>
        <v>2936.674</v>
      </c>
      <c r="J20" s="66" t="n">
        <f aca="false">J18+J19</f>
        <v>3080.695</v>
      </c>
      <c r="K20" s="66" t="n">
        <f aca="false">K18+K19</f>
        <v>1723.195</v>
      </c>
      <c r="L20" s="66" t="n">
        <f aca="false">L18+L19</f>
        <v>1465.695</v>
      </c>
      <c r="M20" s="66" t="n">
        <f aca="false">M18+M19</f>
        <v>1491.63428739951</v>
      </c>
    </row>
    <row r="21" customFormat="false" ht="15" hidden="false" customHeight="false" outlineLevel="0" collapsed="false">
      <c r="B21" s="6" t="s">
        <v>253</v>
      </c>
      <c r="D21" s="64" t="n">
        <v>-38</v>
      </c>
      <c r="E21" s="64" t="n">
        <v>7</v>
      </c>
      <c r="F21" s="64" t="n">
        <v>-31</v>
      </c>
      <c r="G21" s="64" t="n">
        <v>-135</v>
      </c>
      <c r="H21" s="64" t="n">
        <v>-647</v>
      </c>
      <c r="I21" s="66" t="n">
        <f aca="false">0</f>
        <v>0</v>
      </c>
      <c r="J21" s="66" t="n">
        <f aca="false">0</f>
        <v>0</v>
      </c>
      <c r="K21" s="66" t="n">
        <f aca="false">0</f>
        <v>0</v>
      </c>
      <c r="L21" s="66" t="n">
        <f aca="false">0</f>
        <v>0</v>
      </c>
      <c r="M21" s="66" t="n">
        <f aca="false">0</f>
        <v>0</v>
      </c>
    </row>
    <row r="22" customFormat="false" ht="15" hidden="false" customHeight="false" outlineLevel="0" collapsed="false">
      <c r="B22" s="5" t="s">
        <v>254</v>
      </c>
      <c r="D22" s="67" t="n">
        <f aca="false">D13+D20+D21</f>
        <v>9571</v>
      </c>
      <c r="E22" s="67" t="n">
        <f aca="false">E13+E20+E21</f>
        <v>-5658</v>
      </c>
      <c r="F22" s="67" t="n">
        <f aca="false">F13+F20+F21</f>
        <v>1240</v>
      </c>
      <c r="G22" s="67" t="n">
        <f aca="false">G13+G20+G21</f>
        <v>9654</v>
      </c>
      <c r="H22" s="67" t="n">
        <f aca="false">H13+H20+H21</f>
        <v>99671</v>
      </c>
      <c r="I22" s="67" t="n">
        <f aca="false">I13+I20+I21</f>
        <v>229880.454084</v>
      </c>
      <c r="J22" s="67" t="n">
        <f aca="false">J13+J20+J21</f>
        <v>250959.106428924</v>
      </c>
      <c r="K22" s="67" t="n">
        <f aca="false">K13+K20+K21</f>
        <v>154677.426269653</v>
      </c>
      <c r="L22" s="67" t="n">
        <f aca="false">L13+L20+L21</f>
        <v>104336.677544508</v>
      </c>
      <c r="M22" s="67" t="n">
        <f aca="false">M13+M20+M21</f>
        <v>140597.71098797</v>
      </c>
    </row>
    <row r="23" customFormat="false" ht="15" hidden="false" customHeight="false" outlineLevel="0" collapsed="false">
      <c r="B23" s="6" t="s">
        <v>255</v>
      </c>
      <c r="D23" s="64" t="n">
        <v>-888</v>
      </c>
      <c r="E23" s="64" t="n">
        <v>-177</v>
      </c>
      <c r="F23" s="64" t="n">
        <v>-451</v>
      </c>
      <c r="G23" s="64" t="n">
        <v>-1124</v>
      </c>
      <c r="H23" s="64" t="n">
        <v>-14761</v>
      </c>
      <c r="I23" s="66" t="n">
        <f aca="false">-I22*Premissas!I83</f>
        <v>-35631.47038302</v>
      </c>
      <c r="J23" s="66" t="n">
        <f aca="false">-J22*Premissas!J83</f>
        <v>-39651.5388157699</v>
      </c>
      <c r="K23" s="66" t="n">
        <f aca="false">-K22*Premissas!K83</f>
        <v>-23201.6139404479</v>
      </c>
      <c r="L23" s="66" t="n">
        <f aca="false">-L22*Premissas!L83</f>
        <v>-17215.5517948439</v>
      </c>
      <c r="M23" s="66" t="n">
        <f aca="false">-M22*Premissas!M83</f>
        <v>-21792.6452031353</v>
      </c>
    </row>
    <row r="24" customFormat="false" ht="15" hidden="false" customHeight="false" outlineLevel="0" collapsed="false">
      <c r="B24" s="3" t="s">
        <v>256</v>
      </c>
      <c r="D24" s="14" t="n">
        <f aca="false">IFERROR(-D23/D22,"")</f>
        <v>0.0927802737436005</v>
      </c>
      <c r="E24" s="14" t="n">
        <f aca="false">IFERROR(-E23/E22,"")</f>
        <v>-0.0312831389183457</v>
      </c>
      <c r="F24" s="14" t="n">
        <f aca="false">IFERROR(-F23/F22,"")</f>
        <v>0.363709677419355</v>
      </c>
      <c r="G24" s="14" t="n">
        <f aca="false">IFERROR(-G23/G22,"")</f>
        <v>0.116428423451419</v>
      </c>
      <c r="H24" s="14" t="n">
        <f aca="false">IFERROR(-H23/H22,"")</f>
        <v>0.148097239919335</v>
      </c>
      <c r="I24" s="14" t="n">
        <f aca="false">IFERROR(-I23/I22,"")</f>
        <v>0.155</v>
      </c>
      <c r="J24" s="14" t="n">
        <f aca="false">IFERROR(-J23/J22,"")</f>
        <v>0.158</v>
      </c>
      <c r="K24" s="14" t="n">
        <f aca="false">IFERROR(-K23/K22,"")</f>
        <v>0.15</v>
      </c>
      <c r="L24" s="14" t="n">
        <f aca="false">IFERROR(-L23/L22,"")</f>
        <v>0.165</v>
      </c>
      <c r="M24" s="14" t="n">
        <f aca="false">IFERROR(-M23/M22,"")</f>
        <v>0.155</v>
      </c>
    </row>
    <row r="25" customFormat="false" ht="15" hidden="false" customHeight="false" outlineLevel="0" collapsed="false">
      <c r="B25" s="6" t="s">
        <v>257</v>
      </c>
      <c r="D25" s="64" t="n">
        <v>4</v>
      </c>
      <c r="E25" s="64" t="n">
        <v>2</v>
      </c>
      <c r="F25" s="64" t="n">
        <v>-11</v>
      </c>
      <c r="G25" s="64" t="n">
        <v>9</v>
      </c>
      <c r="H25" s="64" t="n">
        <v>59</v>
      </c>
      <c r="I25" s="66" t="n">
        <f aca="false">0</f>
        <v>0</v>
      </c>
      <c r="J25" s="66" t="n">
        <f aca="false">0</f>
        <v>0</v>
      </c>
      <c r="K25" s="66" t="n">
        <f aca="false">0</f>
        <v>0</v>
      </c>
      <c r="L25" s="66" t="n">
        <f aca="false">0</f>
        <v>0</v>
      </c>
      <c r="M25" s="66" t="n">
        <f aca="false">0</f>
        <v>0</v>
      </c>
    </row>
    <row r="26" customFormat="false" ht="15" hidden="false" customHeight="false" outlineLevel="0" collapsed="false">
      <c r="B26" s="5" t="s">
        <v>258</v>
      </c>
      <c r="D26" s="67" t="n">
        <f aca="false">D22+D23+D25</f>
        <v>8687</v>
      </c>
      <c r="E26" s="67" t="n">
        <f aca="false">E22+E23+E25</f>
        <v>-5833</v>
      </c>
      <c r="F26" s="67" t="n">
        <f aca="false">F22+F23+F25</f>
        <v>778</v>
      </c>
      <c r="G26" s="67" t="n">
        <f aca="false">G22+G23+G25</f>
        <v>8539</v>
      </c>
      <c r="H26" s="67" t="n">
        <f aca="false">H22+H23+H25</f>
        <v>84969</v>
      </c>
      <c r="I26" s="67" t="n">
        <f aca="false">I22+I23+I25</f>
        <v>194248.98370098</v>
      </c>
      <c r="J26" s="67" t="n">
        <f aca="false">J22+J23+J25</f>
        <v>211307.567613154</v>
      </c>
      <c r="K26" s="67" t="n">
        <f aca="false">K22+K23+K25</f>
        <v>131475.812329205</v>
      </c>
      <c r="L26" s="67" t="n">
        <f aca="false">L22+L23+L25</f>
        <v>87121.1257496644</v>
      </c>
      <c r="M26" s="67" t="n">
        <f aca="false">M22+M23+M25</f>
        <v>118805.065784835</v>
      </c>
    </row>
    <row r="27" customFormat="false" ht="15" hidden="false" customHeight="false" outlineLevel="0" collapsed="false">
      <c r="B27" s="3" t="s">
        <v>259</v>
      </c>
      <c r="D27" s="14" t="n">
        <f aca="false">D26/D5</f>
        <v>0.282430587164315</v>
      </c>
      <c r="E27" s="14" t="n">
        <f aca="false">E26/E5</f>
        <v>-0.375353925353925</v>
      </c>
      <c r="F27" s="14" t="n">
        <f aca="false">F26/F5</f>
        <v>0.0309824379753893</v>
      </c>
      <c r="G27" s="14" t="n">
        <f aca="false">G26/G5</f>
        <v>0.228449890309808</v>
      </c>
      <c r="H27" s="14" t="n">
        <f aca="false">H26/H5</f>
        <v>0.637962879538697</v>
      </c>
      <c r="I27" s="14" t="n">
        <f aca="false">I26/I5</f>
        <v>0.711969444946171</v>
      </c>
      <c r="J27" s="14" t="n">
        <f aca="false">J26/J5</f>
        <v>0.703124277830725</v>
      </c>
      <c r="K27" s="14" t="n">
        <f aca="false">K26/K5</f>
        <v>0.616031266373867</v>
      </c>
      <c r="L27" s="14" t="n">
        <f aca="false">L26/L5</f>
        <v>0.522595288606964</v>
      </c>
      <c r="M27" s="14" t="n">
        <f aca="false">M26/M5</f>
        <v>0.574254387974588</v>
      </c>
    </row>
    <row r="28" customFormat="false" ht="15" hidden="false" customHeight="false" outlineLevel="0" collapsed="false">
      <c r="B28" s="3" t="s">
        <v>260</v>
      </c>
      <c r="E28" s="14" t="str">
        <f aca="false">IF(OR(D26&lt;=0,E26&lt;=0,ABS(E26/D26-1)&gt;5),"n.m.",E26/D26-1)</f>
        <v>n.m.</v>
      </c>
      <c r="F28" s="14" t="str">
        <f aca="false">IF(OR(E26&lt;=0,F26&lt;=0,ABS(F26/E26-1)&gt;5),"n.m.",F26/E26-1)</f>
        <v>n.m.</v>
      </c>
      <c r="G28" s="14" t="str">
        <f aca="false">IF(OR(F26&lt;=0,G26&lt;=0,ABS(G26/F26-1)&gt;5),"n.m.",G26/F26-1)</f>
        <v>n.m.</v>
      </c>
      <c r="H28" s="14" t="str">
        <f aca="false">IF(OR(G26&lt;=0,H26&lt;=0,ABS(H26/G26-1)&gt;5),"n.m.",H26/G26-1)</f>
        <v>n.m.</v>
      </c>
      <c r="I28" s="14" t="n">
        <f aca="false">IF(OR(H26&lt;=0,I26&lt;=0,ABS(I26/H26-1)&gt;5),"n.m.",I26/H26-1)</f>
        <v>1.28611592111217</v>
      </c>
      <c r="J28" s="14" t="n">
        <f aca="false">IF(OR(I26&lt;=0,J26&lt;=0,ABS(J26/I26-1)&gt;5),"n.m.",J26/I26-1)</f>
        <v>0.0878181372543656</v>
      </c>
      <c r="K28" s="14" t="n">
        <f aca="false">IF(OR(J26&lt;=0,K26&lt;=0,ABS(K26/J26-1)&gt;5),"n.m.",K26/J26-1)</f>
        <v>-0.377798846419448</v>
      </c>
      <c r="L28" s="14" t="n">
        <f aca="false">IF(OR(K26&lt;=0,L26&lt;=0,ABS(L26/K26-1)&gt;5),"n.m.",L26/K26-1)</f>
        <v>-0.337360049683357</v>
      </c>
      <c r="M28" s="14" t="n">
        <f aca="false">IF(OR(L26&lt;=0,M26&lt;=0,ABS(M26/L26-1)&gt;5),"n.m.",M26/L26-1)</f>
        <v>0.363676889646853</v>
      </c>
    </row>
    <row r="30" customFormat="false" ht="15" hidden="false" customHeight="false" outlineLevel="0" collapsed="false">
      <c r="B30" s="6" t="s">
        <v>261</v>
      </c>
      <c r="D30" s="64" t="n">
        <v>1122</v>
      </c>
      <c r="E30" s="64" t="n">
        <v>1093</v>
      </c>
      <c r="F30" s="64" t="n">
        <v>1118</v>
      </c>
      <c r="G30" s="64" t="n">
        <v>1125</v>
      </c>
      <c r="H30" s="64" t="n">
        <v>1143</v>
      </c>
      <c r="I30" s="25" t="n">
        <f aca="false">Suporte!I54</f>
        <v>1090.37904901508</v>
      </c>
      <c r="J30" s="25" t="n">
        <f aca="false">Suporte!J54</f>
        <v>951.849651832464</v>
      </c>
      <c r="K30" s="25" t="n">
        <f aca="false">Suporte!K54</f>
        <v>807.781334664347</v>
      </c>
      <c r="L30" s="25" t="n">
        <f aca="false">Suporte!L54</f>
        <v>695.076907969147</v>
      </c>
      <c r="M30" s="25" t="n">
        <f aca="false">Suporte!M54</f>
        <v>587.186294751208</v>
      </c>
    </row>
    <row r="31" customFormat="false" ht="15" hidden="false" customHeight="false" outlineLevel="0" collapsed="false">
      <c r="B31" s="5" t="s">
        <v>262</v>
      </c>
      <c r="C31" s="3" t="s">
        <v>263</v>
      </c>
      <c r="D31" s="65" t="n">
        <v>7.75</v>
      </c>
      <c r="E31" s="65" t="n">
        <v>-5.34</v>
      </c>
      <c r="F31" s="65" t="n">
        <v>0.7</v>
      </c>
      <c r="G31" s="65" t="n">
        <v>7.59</v>
      </c>
      <c r="H31" s="65" t="n">
        <v>74.33</v>
      </c>
      <c r="I31" s="71" t="n">
        <f aca="false">I26/I30</f>
        <v>178.148125531614</v>
      </c>
      <c r="J31" s="71" t="n">
        <f aca="false">J26/J30</f>
        <v>221.996790361117</v>
      </c>
      <c r="K31" s="71" t="n">
        <f aca="false">K26/K30</f>
        <v>162.761636951956</v>
      </c>
      <c r="L31" s="71" t="n">
        <f aca="false">L26/L30</f>
        <v>125.340267747079</v>
      </c>
      <c r="M31" s="71" t="n">
        <f aca="false">M26/M30</f>
        <v>202.329425681116</v>
      </c>
    </row>
    <row r="32" customFormat="false" ht="15" hidden="false" customHeight="false" outlineLevel="0" collapsed="false">
      <c r="B32" s="3" t="s">
        <v>264</v>
      </c>
      <c r="E32" s="14" t="str">
        <f aca="false">IF(OR(D31&lt;=0,E31&lt;=0,ABS(E31/D31-1)&gt;5),"n.m.",E31/D31-1)</f>
        <v>n.m.</v>
      </c>
      <c r="F32" s="14" t="str">
        <f aca="false">IF(OR(E31&lt;=0,F31&lt;=0,ABS(F31/E31-1)&gt;5),"n.m.",F31/E31-1)</f>
        <v>n.m.</v>
      </c>
      <c r="G32" s="14" t="str">
        <f aca="false">IF(OR(F31&lt;=0,G31&lt;=0,ABS(G31/F31-1)&gt;5),"n.m.",G31/F31-1)</f>
        <v>n.m.</v>
      </c>
      <c r="H32" s="14" t="str">
        <f aca="false">IF(OR(G31&lt;=0,H31&lt;=0,ABS(H31/G31-1)&gt;5),"n.m.",H31/G31-1)</f>
        <v>n.m.</v>
      </c>
      <c r="I32" s="14" t="n">
        <f aca="false">IF(OR(H31&lt;=0,I31&lt;=0,ABS(I31/H31-1)&gt;5),"n.m.",I31/H31-1)</f>
        <v>1.39671903042666</v>
      </c>
      <c r="J32" s="14" t="n">
        <f aca="false">IF(OR(I31&lt;=0,J31&lt;=0,ABS(J31/I31-1)&gt;5),"n.m.",J31/I31-1)</f>
        <v>0.246135987671237</v>
      </c>
      <c r="K32" s="14" t="n">
        <f aca="false">IF(OR(J31&lt;=0,K31&lt;=0,ABS(K31/J31-1)&gt;5),"n.m.",K31/J31-1)</f>
        <v>-0.266828873123817</v>
      </c>
      <c r="L32" s="14" t="n">
        <f aca="false">IF(OR(K31&lt;=0,L31&lt;=0,ABS(L31/K31-1)&gt;5),"n.m.",L31/K31-1)</f>
        <v>-0.229915168621236</v>
      </c>
      <c r="M32" s="14" t="n">
        <f aca="false">IF(OR(L31&lt;=0,M31&lt;=0,ABS(M31/L31-1)&gt;5),"n.m.",M31/L31-1)</f>
        <v>0.614241211686197</v>
      </c>
    </row>
    <row r="34" customFormat="false" ht="15" hidden="false" customHeight="false" outlineLevel="0" collapsed="false">
      <c r="B34" s="4" t="s">
        <v>265</v>
      </c>
    </row>
    <row r="35" customFormat="false" ht="15" hidden="false" customHeight="false" outlineLevel="0" collapsed="false">
      <c r="B35" s="6" t="s">
        <v>266</v>
      </c>
      <c r="C35" s="3" t="s">
        <v>249</v>
      </c>
      <c r="D35" s="64" t="n">
        <v>514</v>
      </c>
      <c r="E35" s="64" t="n">
        <v>596</v>
      </c>
      <c r="F35" s="64" t="n">
        <v>833</v>
      </c>
      <c r="G35" s="64" t="n">
        <v>972</v>
      </c>
      <c r="H35" s="64" t="n">
        <v>1333</v>
      </c>
      <c r="I35" s="66" t="n">
        <f aca="false">I5*Premissas!I65</f>
        <v>1991.68319804</v>
      </c>
      <c r="J35" s="66" t="n">
        <f aca="false">J5*Premissas!J65</f>
        <v>2284.00236557696</v>
      </c>
      <c r="K35" s="66" t="n">
        <f aca="false">K5*Premissas!K65</f>
        <v>2497.05995169103</v>
      </c>
      <c r="L35" s="66" t="n">
        <f aca="false">L5*Premissas!L65</f>
        <v>2550.64148688175</v>
      </c>
      <c r="M35" s="66" t="n">
        <f aca="false">M5*Premissas!M65</f>
        <v>2751.58084644574</v>
      </c>
    </row>
    <row r="36" customFormat="false" ht="15" hidden="false" customHeight="false" outlineLevel="0" collapsed="false">
      <c r="B36" s="6" t="s">
        <v>267</v>
      </c>
      <c r="C36" s="3" t="s">
        <v>268</v>
      </c>
      <c r="D36" s="66" t="n">
        <f aca="false">D38-D26-D35</f>
        <v>274</v>
      </c>
      <c r="E36" s="66" t="n">
        <f aca="false">E38-E26-E35</f>
        <v>375</v>
      </c>
      <c r="F36" s="66" t="n">
        <f aca="false">F38-F26-F35</f>
        <v>-141</v>
      </c>
      <c r="G36" s="66" t="n">
        <f aca="false">G38-G26-G35</f>
        <v>-41</v>
      </c>
      <c r="H36" s="66" t="n">
        <f aca="false">H38-H26-H35</f>
        <v>456</v>
      </c>
      <c r="I36" s="66" t="n">
        <f aca="false">0</f>
        <v>0</v>
      </c>
      <c r="J36" s="66" t="n">
        <f aca="false">0</f>
        <v>0</v>
      </c>
      <c r="K36" s="66" t="n">
        <f aca="false">0</f>
        <v>0</v>
      </c>
      <c r="L36" s="66" t="n">
        <f aca="false">0</f>
        <v>0</v>
      </c>
      <c r="M36" s="66" t="n">
        <f aca="false">0</f>
        <v>0</v>
      </c>
    </row>
    <row r="37" customFormat="false" ht="15" hidden="false" customHeight="false" outlineLevel="0" collapsed="false">
      <c r="B37" s="6" t="s">
        <v>269</v>
      </c>
      <c r="I37" s="66" t="n">
        <f aca="false">-(I35+I36)*Premissas!I83</f>
        <v>-308.7108956962</v>
      </c>
      <c r="J37" s="66" t="n">
        <f aca="false">-(J35+J36)*Premissas!J83</f>
        <v>-360.87237376116</v>
      </c>
      <c r="K37" s="66" t="n">
        <f aca="false">-(K35+K36)*Premissas!K83</f>
        <v>-374.558992753655</v>
      </c>
      <c r="L37" s="66" t="n">
        <f aca="false">-(L35+L36)*Premissas!L83</f>
        <v>-420.855845335489</v>
      </c>
      <c r="M37" s="66" t="n">
        <f aca="false">-(M35+M36)*Premissas!M83</f>
        <v>-426.49503119909</v>
      </c>
    </row>
    <row r="38" customFormat="false" ht="15" hidden="false" customHeight="false" outlineLevel="0" collapsed="false">
      <c r="B38" s="5" t="s">
        <v>270</v>
      </c>
      <c r="C38" s="3" t="s">
        <v>263</v>
      </c>
      <c r="D38" s="64" t="n">
        <v>9475</v>
      </c>
      <c r="E38" s="64" t="n">
        <v>-4862</v>
      </c>
      <c r="F38" s="64" t="n">
        <v>1470</v>
      </c>
      <c r="G38" s="64" t="n">
        <v>9470</v>
      </c>
      <c r="H38" s="64" t="n">
        <v>86758</v>
      </c>
      <c r="I38" s="67" t="n">
        <f aca="false">I26+I35+I36+I37</f>
        <v>195931.956003324</v>
      </c>
      <c r="J38" s="67" t="n">
        <f aca="false">J26+J35+J36+J37</f>
        <v>213230.697604969</v>
      </c>
      <c r="K38" s="67" t="n">
        <f aca="false">K26+K35+K36+K37</f>
        <v>133598.313288142</v>
      </c>
      <c r="L38" s="67" t="n">
        <f aca="false">L26+L35+L36+L37</f>
        <v>89250.9113912106</v>
      </c>
      <c r="M38" s="67" t="n">
        <f aca="false">M26+M35+M36+M37</f>
        <v>121130.151600081</v>
      </c>
    </row>
    <row r="39" customFormat="false" ht="15" hidden="false" customHeight="false" outlineLevel="0" collapsed="false">
      <c r="B39" s="5" t="s">
        <v>44</v>
      </c>
      <c r="D39" s="65" t="n">
        <v>8.35</v>
      </c>
      <c r="E39" s="65" t="n">
        <v>-4.45</v>
      </c>
      <c r="F39" s="65" t="n">
        <v>1.3</v>
      </c>
      <c r="G39" s="65" t="n">
        <v>8.29</v>
      </c>
      <c r="H39" s="65" t="n">
        <v>75.52</v>
      </c>
      <c r="I39" s="71" t="n">
        <f aca="false">I38/I30</f>
        <v>179.69160007275</v>
      </c>
      <c r="J39" s="71" t="n">
        <f aca="false">J38/J30</f>
        <v>224.017203971726</v>
      </c>
      <c r="K39" s="71" t="n">
        <f aca="false">K38/K30</f>
        <v>165.389205661277</v>
      </c>
      <c r="L39" s="71" t="n">
        <f aca="false">L38/L30</f>
        <v>128.404368448926</v>
      </c>
      <c r="M39" s="71" t="n">
        <f aca="false">M38/M30</f>
        <v>206.28913290867</v>
      </c>
    </row>
    <row r="40" customFormat="false" ht="15" hidden="false" customHeight="false" outlineLevel="0" collapsed="false">
      <c r="B40" s="3" t="s">
        <v>271</v>
      </c>
      <c r="E40" s="14" t="str">
        <f aca="false">IF(OR(D39&lt;=0,E39&lt;=0,ABS(E39/D39-1)&gt;5),"n.m.",E39/D39-1)</f>
        <v>n.m.</v>
      </c>
      <c r="F40" s="14" t="str">
        <f aca="false">IF(OR(E39&lt;=0,F39&lt;=0,ABS(F39/E39-1)&gt;5),"n.m.",F39/E39-1)</f>
        <v>n.m.</v>
      </c>
      <c r="G40" s="14" t="str">
        <f aca="false">IF(OR(F39&lt;=0,G39&lt;=0,ABS(G39/F39-1)&gt;5),"n.m.",G39/F39-1)</f>
        <v>n.m.</v>
      </c>
      <c r="H40" s="14" t="str">
        <f aca="false">IF(OR(G39&lt;=0,H39&lt;=0,ABS(H39/G39-1)&gt;5),"n.m.",H39/G39-1)</f>
        <v>n.m.</v>
      </c>
      <c r="I40" s="14" t="n">
        <f aca="false">IF(OR(H39&lt;=0,I39&lt;=0,ABS(I39/H39-1)&gt;5),"n.m.",I39/H39-1)</f>
        <v>1.37939089079384</v>
      </c>
      <c r="J40" s="14" t="n">
        <f aca="false">IF(OR(I39&lt;=0,J39&lt;=0,ABS(J39/I39-1)&gt;5),"n.m.",J39/I39-1)</f>
        <v>0.246675993096114</v>
      </c>
      <c r="K40" s="14" t="n">
        <f aca="false">IF(OR(J39&lt;=0,K39&lt;=0,ABS(K39/J39-1)&gt;5),"n.m.",K39/J39-1)</f>
        <v>-0.261712034928572</v>
      </c>
      <c r="L40" s="14" t="n">
        <f aca="false">IF(OR(K39&lt;=0,L39&lt;=0,ABS(L39/K39-1)&gt;5),"n.m.",L39/K39-1)</f>
        <v>-0.223623041567156</v>
      </c>
      <c r="M40" s="14" t="n">
        <f aca="false">IF(OR(L39&lt;=0,M39&lt;=0,ABS(M39/L39-1)&gt;5),"n.m.",M39/L39-1)</f>
        <v>0.606558526010921</v>
      </c>
    </row>
    <row r="42" customFormat="false" ht="15" hidden="false" customHeight="false" outlineLevel="0" collapsed="false">
      <c r="B42" s="6" t="s">
        <v>272</v>
      </c>
      <c r="D42" s="65" t="n">
        <v>0.415</v>
      </c>
      <c r="E42" s="65" t="n">
        <v>0.46</v>
      </c>
      <c r="F42" s="65" t="n">
        <v>0.46</v>
      </c>
      <c r="G42" s="65" t="n">
        <v>0.46</v>
      </c>
      <c r="H42" s="65" t="n">
        <v>0.53</v>
      </c>
      <c r="I42" s="39" t="n">
        <f aca="false">H42*(1+Premissas!I119)</f>
        <v>0.6996</v>
      </c>
      <c r="J42" s="39" t="n">
        <f aca="false">I42*(1+Premissas!J119)</f>
        <v>0.902484</v>
      </c>
      <c r="K42" s="39" t="n">
        <f aca="false">J42*(1+Premissas!K119)</f>
        <v>1.06493112</v>
      </c>
      <c r="L42" s="39" t="n">
        <f aca="false">K42*(1+Premissas!L119)</f>
        <v>1.1288269872</v>
      </c>
      <c r="M42" s="39" t="n">
        <f aca="false">L42*(1+Premissas!M119)</f>
        <v>1.18526833656</v>
      </c>
    </row>
    <row r="43" customFormat="false" ht="15" hidden="false" customHeight="false" outlineLevel="0" collapsed="false">
      <c r="B43" s="3" t="s">
        <v>273</v>
      </c>
      <c r="D43" s="14" t="n">
        <f aca="false">IF(D31&lt;=0,"n.m.",D42/D31)</f>
        <v>0.0535483870967742</v>
      </c>
      <c r="E43" s="14" t="str">
        <f aca="false">IF(E31&lt;=0,"n.m.",E42/E31)</f>
        <v>n.m.</v>
      </c>
      <c r="F43" s="14" t="n">
        <f aca="false">IF(F31&lt;=0,"n.m.",F42/F31)</f>
        <v>0.657142857142857</v>
      </c>
      <c r="G43" s="14" t="n">
        <f aca="false">IF(G31&lt;=0,"n.m.",G42/G31)</f>
        <v>0.0606060606060606</v>
      </c>
      <c r="H43" s="14" t="n">
        <f aca="false">IF(H31&lt;=0,"n.m.",H42/H31)</f>
        <v>0.00713036459034038</v>
      </c>
      <c r="I43" s="14" t="n">
        <f aca="false">IF(I31&lt;=0,"n.m.",I42/I31)</f>
        <v>0.00392706910562386</v>
      </c>
      <c r="J43" s="14" t="n">
        <f aca="false">IF(J31&lt;=0,"n.m.",J42/J31)</f>
        <v>0.00406530201870014</v>
      </c>
      <c r="K43" s="14" t="n">
        <f aca="false">IF(K31&lt;=0,"n.m.",K42/K31)</f>
        <v>0.0065428877464187</v>
      </c>
      <c r="L43" s="14" t="n">
        <f aca="false">IF(L31&lt;=0,"n.m.",L42/L31)</f>
        <v>0.00900610001470427</v>
      </c>
      <c r="M43" s="14" t="n">
        <f aca="false">IF(M31&lt;=0,"n.m.",M42/M31)</f>
        <v>0.00585811150587684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3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274</v>
      </c>
    </row>
    <row r="2" customFormat="false" ht="15" hidden="false" customHeight="false" outlineLevel="0" collapsed="false">
      <c r="B2" s="3" t="s">
        <v>275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</row>
    <row r="5" customFormat="false" ht="15" hidden="false" customHeight="false" outlineLevel="0" collapsed="false">
      <c r="B5" s="5" t="s">
        <v>276</v>
      </c>
      <c r="C5" s="3" t="s">
        <v>277</v>
      </c>
      <c r="D5" s="67" t="n">
        <f aca="false">SUM(D6:D8)</f>
        <v>10978</v>
      </c>
      <c r="E5" s="67" t="n">
        <f aca="false">SUM(E6:E8)</f>
        <v>10438</v>
      </c>
      <c r="F5" s="67" t="n">
        <f aca="false">SUM(F6:F8)</f>
        <v>9152</v>
      </c>
      <c r="G5" s="67" t="n">
        <f aca="false">SUM(G6:G8)</f>
        <v>11936</v>
      </c>
      <c r="H5" s="67" t="n">
        <f aca="false">SUM(H6:H8)</f>
        <v>73453</v>
      </c>
      <c r="I5" s="23" t="n">
        <f aca="false">FC!I38</f>
        <v>80000</v>
      </c>
      <c r="J5" s="23" t="n">
        <f aca="false">FC!J38</f>
        <v>50000</v>
      </c>
      <c r="K5" s="23" t="n">
        <f aca="false">FC!K38</f>
        <v>45000</v>
      </c>
      <c r="L5" s="23" t="n">
        <f aca="false">FC!L38</f>
        <v>45000</v>
      </c>
      <c r="M5" s="23" t="n">
        <f aca="false">FC!M38</f>
        <v>45000</v>
      </c>
    </row>
    <row r="6" customFormat="false" ht="15" hidden="false" customHeight="false" outlineLevel="0" collapsed="false">
      <c r="B6" s="3" t="s">
        <v>278</v>
      </c>
      <c r="C6" s="3" t="s">
        <v>175</v>
      </c>
      <c r="D6" s="64" t="n">
        <v>8262</v>
      </c>
      <c r="E6" s="64" t="n">
        <v>8577</v>
      </c>
      <c r="F6" s="64" t="n">
        <v>7041</v>
      </c>
      <c r="G6" s="64" t="n">
        <v>9642</v>
      </c>
      <c r="H6" s="64" t="n">
        <v>38364</v>
      </c>
    </row>
    <row r="7" customFormat="false" ht="15" hidden="false" customHeight="false" outlineLevel="0" collapsed="false">
      <c r="B7" s="3" t="s">
        <v>279</v>
      </c>
      <c r="D7" s="64" t="n">
        <v>1069</v>
      </c>
      <c r="E7" s="64" t="n">
        <v>1017</v>
      </c>
      <c r="F7" s="64" t="n">
        <v>1065</v>
      </c>
      <c r="G7" s="64" t="n">
        <v>665</v>
      </c>
      <c r="H7" s="64" t="n">
        <v>5070</v>
      </c>
    </row>
    <row r="8" customFormat="false" ht="15" hidden="false" customHeight="false" outlineLevel="0" collapsed="false">
      <c r="B8" s="3" t="s">
        <v>280</v>
      </c>
      <c r="D8" s="64" t="n">
        <v>1647</v>
      </c>
      <c r="E8" s="64" t="n">
        <v>844</v>
      </c>
      <c r="F8" s="64" t="n">
        <v>1046</v>
      </c>
      <c r="G8" s="64" t="n">
        <v>1629</v>
      </c>
      <c r="H8" s="64" t="n">
        <v>30019</v>
      </c>
    </row>
    <row r="9" customFormat="false" ht="15" hidden="false" customHeight="false" outlineLevel="0" collapsed="false">
      <c r="B9" s="6" t="s">
        <v>281</v>
      </c>
      <c r="D9" s="64" t="n">
        <v>5130</v>
      </c>
      <c r="E9" s="64" t="n">
        <v>2443</v>
      </c>
      <c r="F9" s="64" t="n">
        <v>6615</v>
      </c>
      <c r="G9" s="64" t="n">
        <v>9265</v>
      </c>
      <c r="H9" s="64" t="n">
        <v>36197</v>
      </c>
      <c r="I9" s="25" t="n">
        <f aca="false">Suporte!I20</f>
        <v>53071.6858926027</v>
      </c>
      <c r="J9" s="25" t="n">
        <f aca="false">Suporte!J20</f>
        <v>52695.0798114367</v>
      </c>
      <c r="K9" s="25" t="n">
        <f aca="false">Suporte!K20</f>
        <v>32744.4929855281</v>
      </c>
      <c r="L9" s="25" t="n">
        <f aca="false">Suporte!L20</f>
        <v>25120.4730555102</v>
      </c>
      <c r="M9" s="25" t="n">
        <f aca="false">Suporte!M20</f>
        <v>34008.6210293016</v>
      </c>
    </row>
    <row r="10" customFormat="false" ht="15" hidden="false" customHeight="false" outlineLevel="0" collapsed="false">
      <c r="B10" s="6" t="s">
        <v>282</v>
      </c>
      <c r="D10" s="64" t="n">
        <v>6663</v>
      </c>
      <c r="E10" s="64" t="n">
        <v>8387</v>
      </c>
      <c r="F10" s="64" t="n">
        <v>8875</v>
      </c>
      <c r="G10" s="64" t="n">
        <v>8355</v>
      </c>
      <c r="H10" s="64" t="n">
        <v>10372</v>
      </c>
      <c r="I10" s="25" t="n">
        <f aca="false">Suporte!I21</f>
        <v>12919.752870674</v>
      </c>
      <c r="J10" s="25" t="n">
        <f aca="false">Suporte!J21</f>
        <v>14577.2319984838</v>
      </c>
      <c r="K10" s="25" t="n">
        <f aca="false">Suporte!K21</f>
        <v>21281.5482828728</v>
      </c>
      <c r="L10" s="25" t="n">
        <f aca="false">Suporte!L21</f>
        <v>23884.7245621398</v>
      </c>
      <c r="M10" s="25" t="n">
        <f aca="false">Suporte!M21</f>
        <v>21841.8731061152</v>
      </c>
    </row>
    <row r="11" customFormat="false" ht="15" hidden="false" customHeight="false" outlineLevel="0" collapsed="false">
      <c r="B11" s="6" t="s">
        <v>283</v>
      </c>
      <c r="D11" s="64" t="n">
        <v>657</v>
      </c>
      <c r="E11" s="64" t="n">
        <v>820</v>
      </c>
      <c r="F11" s="64" t="n">
        <v>776</v>
      </c>
      <c r="G11" s="64" t="n">
        <v>914</v>
      </c>
      <c r="H11" s="64" t="n">
        <v>1067</v>
      </c>
      <c r="I11" s="66" t="n">
        <f aca="false">H11</f>
        <v>1067</v>
      </c>
      <c r="J11" s="66" t="n">
        <f aca="false">I11</f>
        <v>1067</v>
      </c>
      <c r="K11" s="66" t="n">
        <f aca="false">J11</f>
        <v>1067</v>
      </c>
      <c r="L11" s="66" t="n">
        <f aca="false">K11</f>
        <v>1067</v>
      </c>
      <c r="M11" s="66" t="n">
        <f aca="false">L11</f>
        <v>1067</v>
      </c>
    </row>
    <row r="12" customFormat="false" ht="15" hidden="false" customHeight="false" outlineLevel="0" collapsed="false">
      <c r="B12" s="3" t="s">
        <v>284</v>
      </c>
      <c r="D12" s="28" t="n">
        <f aca="false">D5-D8+D9+D10+D11</f>
        <v>21781</v>
      </c>
      <c r="E12" s="28" t="n">
        <f aca="false">E5-E8+E9+E10+E11</f>
        <v>21244</v>
      </c>
      <c r="F12" s="28" t="n">
        <f aca="false">F5-F8+F9+F10+F11</f>
        <v>24372</v>
      </c>
      <c r="G12" s="28" t="n">
        <f aca="false">G5-G8+G9+G10+G11</f>
        <v>28841</v>
      </c>
      <c r="H12" s="28" t="n">
        <f aca="false">H5-H8+H9+H10+H11</f>
        <v>91070</v>
      </c>
      <c r="I12" s="28" t="n">
        <f aca="false">I5-I8+I9+I10+I11</f>
        <v>147058.438763277</v>
      </c>
      <c r="J12" s="28" t="n">
        <f aca="false">J5-J8+J9+J10+J11</f>
        <v>118339.311809921</v>
      </c>
      <c r="K12" s="28" t="n">
        <f aca="false">K5-K8+K9+K10+K11</f>
        <v>100093.041268401</v>
      </c>
      <c r="L12" s="28" t="n">
        <f aca="false">L5-L8+L9+L10+L11</f>
        <v>95072.1976176499</v>
      </c>
      <c r="M12" s="28" t="n">
        <f aca="false">M5-M8+M9+M10+M11</f>
        <v>101917.494135417</v>
      </c>
    </row>
    <row r="13" customFormat="false" ht="15" hidden="false" customHeight="false" outlineLevel="0" collapsed="false">
      <c r="B13" s="6" t="s">
        <v>285</v>
      </c>
      <c r="D13" s="64" t="n">
        <v>38549</v>
      </c>
      <c r="E13" s="64" t="n">
        <v>37928</v>
      </c>
      <c r="F13" s="64" t="n">
        <v>39749</v>
      </c>
      <c r="G13" s="64" t="n">
        <v>46590</v>
      </c>
      <c r="H13" s="64" t="n">
        <v>63310</v>
      </c>
      <c r="I13" s="25" t="n">
        <f aca="false">Suporte!I11</f>
        <v>102837.93</v>
      </c>
      <c r="J13" s="25" t="n">
        <f aca="false">Suporte!J11</f>
        <v>143869.67155</v>
      </c>
      <c r="K13" s="25" t="n">
        <f aca="false">Suporte!K11</f>
        <v>158850.524102</v>
      </c>
      <c r="L13" s="25" t="n">
        <f aca="false">Suporte!L11</f>
        <v>161845.93500466</v>
      </c>
      <c r="M13" s="25" t="n">
        <f aca="false">Suporte!M11</f>
        <v>168713.666703821</v>
      </c>
    </row>
    <row r="14" customFormat="false" ht="15" hidden="false" customHeight="false" outlineLevel="0" collapsed="false">
      <c r="B14" s="6" t="s">
        <v>286</v>
      </c>
      <c r="D14" s="64" t="n">
        <v>1649</v>
      </c>
      <c r="E14" s="64" t="n">
        <v>1554</v>
      </c>
      <c r="F14" s="64" t="n">
        <v>1566</v>
      </c>
      <c r="G14" s="64" t="n">
        <v>1603</v>
      </c>
      <c r="H14" s="64" t="n">
        <v>1150</v>
      </c>
      <c r="I14" s="66" t="n">
        <f aca="false">H14</f>
        <v>1150</v>
      </c>
      <c r="J14" s="66" t="n">
        <f aca="false">I14</f>
        <v>1150</v>
      </c>
      <c r="K14" s="66" t="n">
        <f aca="false">J14</f>
        <v>1150</v>
      </c>
      <c r="L14" s="66" t="n">
        <f aca="false">K14</f>
        <v>1150</v>
      </c>
      <c r="M14" s="66" t="n">
        <f aca="false">L14</f>
        <v>1150</v>
      </c>
    </row>
    <row r="15" customFormat="false" ht="15" hidden="false" customHeight="false" outlineLevel="0" collapsed="false">
      <c r="B15" s="6" t="s">
        <v>287</v>
      </c>
      <c r="D15" s="64" t="n">
        <v>2657</v>
      </c>
      <c r="E15" s="64" t="n">
        <v>2684</v>
      </c>
      <c r="F15" s="64" t="n">
        <v>2683</v>
      </c>
      <c r="G15" s="64" t="n">
        <v>4135</v>
      </c>
      <c r="H15" s="64" t="n">
        <v>10339</v>
      </c>
      <c r="I15" s="66" t="n">
        <f aca="false">H15</f>
        <v>10339</v>
      </c>
      <c r="J15" s="66" t="n">
        <f aca="false">I15</f>
        <v>10339</v>
      </c>
      <c r="K15" s="66" t="n">
        <f aca="false">J15</f>
        <v>10339</v>
      </c>
      <c r="L15" s="66" t="n">
        <f aca="false">K15</f>
        <v>10339</v>
      </c>
      <c r="M15" s="66" t="n">
        <f aca="false">L15</f>
        <v>10339</v>
      </c>
    </row>
    <row r="16" customFormat="false" ht="15" hidden="false" customHeight="false" outlineLevel="0" collapsed="false">
      <c r="B16" s="5" t="s">
        <v>288</v>
      </c>
      <c r="D16" s="67" t="n">
        <f aca="false">D5+D9+D10+D11+D13+D14+D15</f>
        <v>66283</v>
      </c>
      <c r="E16" s="67" t="n">
        <f aca="false">E5+E9+E10+E11+E13+E14+E15</f>
        <v>64254</v>
      </c>
      <c r="F16" s="67" t="n">
        <f aca="false">F5+F9+F10+F11+F13+F14+F15</f>
        <v>69416</v>
      </c>
      <c r="G16" s="67" t="n">
        <f aca="false">G5+G9+G10+G11+G13+G14+G15</f>
        <v>82798</v>
      </c>
      <c r="H16" s="67" t="n">
        <f aca="false">H5+H9+H10+H11+H13+H14+H15</f>
        <v>195888</v>
      </c>
      <c r="I16" s="67" t="n">
        <f aca="false">I5+I9+I10+I11+I13+I14+I15</f>
        <v>261385.368763277</v>
      </c>
      <c r="J16" s="67" t="n">
        <f aca="false">J5+J9+J10+J11+J13+J14+J15</f>
        <v>273697.983359921</v>
      </c>
      <c r="K16" s="67" t="n">
        <f aca="false">K5+K9+K10+K11+K13+K14+K15</f>
        <v>270432.565370401</v>
      </c>
      <c r="L16" s="67" t="n">
        <f aca="false">L5+L9+L10+L11+L13+L14+L15</f>
        <v>268407.13262231</v>
      </c>
      <c r="M16" s="67" t="n">
        <f aca="false">M5+M9+M10+M11+M13+M14+M15</f>
        <v>282120.160839238</v>
      </c>
    </row>
    <row r="18" customFormat="false" ht="15" hidden="false" customHeight="false" outlineLevel="0" collapsed="false">
      <c r="B18" s="6" t="s">
        <v>289</v>
      </c>
      <c r="D18" s="64" t="n">
        <v>6090</v>
      </c>
      <c r="E18" s="64" t="n">
        <v>3958</v>
      </c>
      <c r="F18" s="64" t="n">
        <v>7299</v>
      </c>
      <c r="G18" s="64" t="n">
        <v>9649</v>
      </c>
      <c r="H18" s="64" t="n">
        <v>22605</v>
      </c>
      <c r="I18" s="25" t="n">
        <f aca="false">Suporte!I22</f>
        <v>28009.2352310795</v>
      </c>
      <c r="J18" s="25" t="n">
        <f aca="false">Suporte!J22</f>
        <v>28471.1562470387</v>
      </c>
      <c r="K18" s="25" t="n">
        <f aca="false">Suporte!K22</f>
        <v>21281.5482828728</v>
      </c>
      <c r="L18" s="25" t="n">
        <f aca="false">Suporte!L22</f>
        <v>19976.3150883351</v>
      </c>
      <c r="M18" s="25" t="n">
        <f aca="false">Suporte!M22</f>
        <v>23072.4011684316</v>
      </c>
    </row>
    <row r="19" customFormat="false" ht="15" hidden="false" customHeight="false" outlineLevel="0" collapsed="false">
      <c r="B19" s="6" t="s">
        <v>290</v>
      </c>
      <c r="D19" s="64" t="n">
        <v>103</v>
      </c>
      <c r="E19" s="64" t="n">
        <v>278</v>
      </c>
      <c r="F19" s="64" t="n">
        <v>431</v>
      </c>
      <c r="G19" s="64" t="n">
        <v>560</v>
      </c>
      <c r="H19" s="64" t="n">
        <v>491</v>
      </c>
      <c r="I19" s="25" t="n">
        <f aca="false">Suporte!I33</f>
        <v>500</v>
      </c>
      <c r="J19" s="25" t="n">
        <f aca="false">Suporte!J33</f>
        <v>500</v>
      </c>
      <c r="K19" s="25" t="n">
        <f aca="false">Suporte!K33</f>
        <v>500</v>
      </c>
      <c r="L19" s="25" t="n">
        <f aca="false">Suporte!L33</f>
        <v>652.857217756029</v>
      </c>
      <c r="M19" s="25" t="n">
        <f aca="false">Suporte!M33</f>
        <v>964.839916113247</v>
      </c>
    </row>
    <row r="20" customFormat="false" ht="15" hidden="false" customHeight="false" outlineLevel="0" collapsed="false">
      <c r="B20" s="6" t="s">
        <v>291</v>
      </c>
      <c r="D20" s="64" t="n">
        <v>1346</v>
      </c>
      <c r="E20" s="64" t="n">
        <v>529</v>
      </c>
      <c r="F20" s="64" t="n">
        <v>1518</v>
      </c>
      <c r="G20" s="64" t="n">
        <v>1245</v>
      </c>
      <c r="H20" s="64" t="n">
        <v>4386</v>
      </c>
      <c r="I20" s="66" t="n">
        <f aca="false">H20</f>
        <v>4386</v>
      </c>
      <c r="J20" s="66" t="n">
        <f aca="false">I20</f>
        <v>4386</v>
      </c>
      <c r="K20" s="66" t="n">
        <f aca="false">J20</f>
        <v>4386</v>
      </c>
      <c r="L20" s="66" t="n">
        <f aca="false">K20</f>
        <v>4386</v>
      </c>
      <c r="M20" s="66" t="n">
        <f aca="false">L20</f>
        <v>4386</v>
      </c>
    </row>
    <row r="21" customFormat="false" ht="15" hidden="false" customHeight="false" outlineLevel="0" collapsed="false">
      <c r="B21" s="3" t="s">
        <v>292</v>
      </c>
      <c r="D21" s="28" t="n">
        <f aca="false">D18+D19+D20</f>
        <v>7539</v>
      </c>
      <c r="E21" s="28" t="n">
        <f aca="false">E18+E19+E20</f>
        <v>4765</v>
      </c>
      <c r="F21" s="28" t="n">
        <f aca="false">F18+F19+F20</f>
        <v>9248</v>
      </c>
      <c r="G21" s="28" t="n">
        <f aca="false">G18+G19+G20</f>
        <v>11454</v>
      </c>
      <c r="H21" s="28" t="n">
        <f aca="false">H18+H19+H20</f>
        <v>27482</v>
      </c>
      <c r="I21" s="28" t="n">
        <f aca="false">I18+I19+I20</f>
        <v>32895.2352310795</v>
      </c>
      <c r="J21" s="28" t="n">
        <f aca="false">J18+J19+J20</f>
        <v>33357.1562470387</v>
      </c>
      <c r="K21" s="28" t="n">
        <f aca="false">K18+K19+K20</f>
        <v>26167.5482828728</v>
      </c>
      <c r="L21" s="28" t="n">
        <f aca="false">L18+L19+L20</f>
        <v>25015.1723060911</v>
      </c>
      <c r="M21" s="28" t="n">
        <f aca="false">M18+M19+M20</f>
        <v>28423.2410845448</v>
      </c>
    </row>
    <row r="22" customFormat="false" ht="15" hidden="false" customHeight="false" outlineLevel="0" collapsed="false">
      <c r="B22" s="6" t="s">
        <v>293</v>
      </c>
      <c r="D22" s="64" t="n">
        <v>6803</v>
      </c>
      <c r="E22" s="64" t="n">
        <v>13052</v>
      </c>
      <c r="F22" s="64" t="n">
        <v>12966</v>
      </c>
      <c r="G22" s="64" t="n">
        <v>14017</v>
      </c>
      <c r="H22" s="64" t="n">
        <v>4688</v>
      </c>
      <c r="I22" s="25" t="n">
        <f aca="false">Suporte!I34</f>
        <v>4179</v>
      </c>
      <c r="J22" s="25" t="n">
        <f aca="false">Suporte!J34</f>
        <v>3679</v>
      </c>
      <c r="K22" s="25" t="n">
        <f aca="false">Suporte!K34</f>
        <v>3179</v>
      </c>
      <c r="L22" s="25" t="n">
        <f aca="false">Suporte!L34</f>
        <v>2526.14278224397</v>
      </c>
      <c r="M22" s="25" t="n">
        <f aca="false">Suporte!M34</f>
        <v>1561.30286613072</v>
      </c>
    </row>
    <row r="23" customFormat="false" ht="15" hidden="false" customHeight="false" outlineLevel="0" collapsed="false">
      <c r="B23" s="6" t="s">
        <v>294</v>
      </c>
      <c r="C23" s="3" t="s">
        <v>295</v>
      </c>
      <c r="D23" s="64" t="n">
        <v>0</v>
      </c>
      <c r="E23" s="64" t="n">
        <v>0</v>
      </c>
      <c r="F23" s="64" t="n">
        <v>0</v>
      </c>
      <c r="G23" s="64" t="n">
        <v>142</v>
      </c>
      <c r="H23" s="64" t="n">
        <v>12895</v>
      </c>
      <c r="I23" s="25" t="n">
        <f aca="false">Suporte!I61</f>
        <v>10316</v>
      </c>
      <c r="J23" s="25" t="n">
        <f aca="false">Suporte!J61</f>
        <v>6447.5</v>
      </c>
      <c r="K23" s="25" t="n">
        <f aca="false">Suporte!K61</f>
        <v>2579</v>
      </c>
      <c r="L23" s="25" t="n">
        <f aca="false">Suporte!L61</f>
        <v>0</v>
      </c>
      <c r="M23" s="25" t="n">
        <f aca="false">Suporte!M61</f>
        <v>0</v>
      </c>
    </row>
    <row r="24" customFormat="false" ht="15" hidden="false" customHeight="false" outlineLevel="0" collapsed="false">
      <c r="B24" s="6" t="s">
        <v>296</v>
      </c>
      <c r="D24" s="64" t="n">
        <v>2034</v>
      </c>
      <c r="E24" s="64" t="n">
        <v>2317</v>
      </c>
      <c r="F24" s="64" t="n">
        <v>2071</v>
      </c>
      <c r="G24" s="64" t="n">
        <v>3020</v>
      </c>
      <c r="H24" s="64" t="n">
        <v>12445</v>
      </c>
      <c r="I24" s="66" t="n">
        <f aca="false">H24</f>
        <v>12445</v>
      </c>
      <c r="J24" s="66" t="n">
        <f aca="false">I24</f>
        <v>12445</v>
      </c>
      <c r="K24" s="66" t="n">
        <f aca="false">J24</f>
        <v>12445</v>
      </c>
      <c r="L24" s="66" t="n">
        <f aca="false">K24</f>
        <v>12445</v>
      </c>
      <c r="M24" s="66" t="n">
        <f aca="false">L24</f>
        <v>12445</v>
      </c>
    </row>
    <row r="25" customFormat="false" ht="15" hidden="false" customHeight="false" outlineLevel="0" collapsed="false">
      <c r="B25" s="5" t="s">
        <v>297</v>
      </c>
      <c r="D25" s="67" t="n">
        <f aca="false">D21+D22+D23+D24</f>
        <v>16376</v>
      </c>
      <c r="E25" s="67" t="n">
        <f aca="false">E21+E22+E23+E24</f>
        <v>20134</v>
      </c>
      <c r="F25" s="67" t="n">
        <f aca="false">F21+F22+F23+F24</f>
        <v>24285</v>
      </c>
      <c r="G25" s="67" t="n">
        <f aca="false">G21+G22+G23+G24</f>
        <v>28633</v>
      </c>
      <c r="H25" s="67" t="n">
        <f aca="false">H21+H22+H23+H24</f>
        <v>57510</v>
      </c>
      <c r="I25" s="67" t="n">
        <f aca="false">I21+I22+I23+I24</f>
        <v>59835.2352310795</v>
      </c>
      <c r="J25" s="67" t="n">
        <f aca="false">J21+J22+J23+J24</f>
        <v>55928.6562470387</v>
      </c>
      <c r="K25" s="67" t="n">
        <f aca="false">K21+K22+K23+K24</f>
        <v>44370.5482828728</v>
      </c>
      <c r="L25" s="67" t="n">
        <f aca="false">L21+L22+L23+L24</f>
        <v>39986.3150883351</v>
      </c>
      <c r="M25" s="67" t="n">
        <f aca="false">M21+M22+M23+M24</f>
        <v>42429.5439506755</v>
      </c>
    </row>
    <row r="26" customFormat="false" ht="15" hidden="false" customHeight="false" outlineLevel="0" collapsed="false">
      <c r="B26" s="5" t="s">
        <v>298</v>
      </c>
      <c r="D26" s="64" t="n">
        <v>49907</v>
      </c>
      <c r="E26" s="64" t="n">
        <v>44120</v>
      </c>
      <c r="F26" s="64" t="n">
        <v>45131</v>
      </c>
      <c r="G26" s="64" t="n">
        <v>54165</v>
      </c>
      <c r="H26" s="64" t="n">
        <v>138378</v>
      </c>
      <c r="I26" s="67" t="n">
        <f aca="false">H26+DRE!I26+FC!I27+FC!I28+DRE!I35</f>
        <v>201550.133532197</v>
      </c>
      <c r="J26" s="67" t="n">
        <f aca="false">I26+DRE!J26+FC!J27+FC!J28+DRE!J35</f>
        <v>217769.327112882</v>
      </c>
      <c r="K26" s="67" t="n">
        <f aca="false">J26+DRE!K26+FC!K27+FC!K28+DRE!K35</f>
        <v>226062.017087528</v>
      </c>
      <c r="L26" s="67" t="n">
        <f aca="false">K26+DRE!L26+FC!L27+FC!L28+DRE!L35</f>
        <v>228420.817533975</v>
      </c>
      <c r="M26" s="67" t="n">
        <f aca="false">L26+DRE!M26+FC!M27+FC!M28+DRE!M35</f>
        <v>239690.616888563</v>
      </c>
    </row>
    <row r="27" customFormat="false" ht="15" hidden="false" customHeight="false" outlineLevel="0" collapsed="false">
      <c r="B27" s="5" t="s">
        <v>299</v>
      </c>
      <c r="D27" s="67" t="n">
        <f aca="false">D25+D26</f>
        <v>66283</v>
      </c>
      <c r="E27" s="67" t="n">
        <f aca="false">E25+E26</f>
        <v>64254</v>
      </c>
      <c r="F27" s="67" t="n">
        <f aca="false">F25+F26</f>
        <v>69416</v>
      </c>
      <c r="G27" s="67" t="n">
        <f aca="false">G25+G26</f>
        <v>82798</v>
      </c>
      <c r="H27" s="67" t="n">
        <f aca="false">H25+H26</f>
        <v>195888</v>
      </c>
      <c r="I27" s="67" t="n">
        <f aca="false">I25+I26</f>
        <v>261385.368763277</v>
      </c>
      <c r="J27" s="67" t="n">
        <f aca="false">J25+J26</f>
        <v>273697.983359921</v>
      </c>
      <c r="K27" s="67" t="n">
        <f aca="false">K25+K26</f>
        <v>270432.565370401</v>
      </c>
      <c r="L27" s="67" t="n">
        <f aca="false">L25+L26</f>
        <v>268407.13262231</v>
      </c>
      <c r="M27" s="67" t="n">
        <f aca="false">M25+M26</f>
        <v>282120.160839238</v>
      </c>
    </row>
    <row r="29" customFormat="false" ht="15" hidden="false" customHeight="false" outlineLevel="0" collapsed="false">
      <c r="B29" s="3" t="s">
        <v>300</v>
      </c>
      <c r="D29" s="28" t="n">
        <f aca="false">D16-D25-D26</f>
        <v>0</v>
      </c>
      <c r="E29" s="28" t="n">
        <f aca="false">E16-E25-E26</f>
        <v>0</v>
      </c>
      <c r="F29" s="28" t="n">
        <f aca="false">F16-F25-F26</f>
        <v>0</v>
      </c>
      <c r="G29" s="28" t="n">
        <f aca="false">G16-G25-G26</f>
        <v>0</v>
      </c>
      <c r="H29" s="28" t="n">
        <f aca="false">H16-H25-H26</f>
        <v>0</v>
      </c>
      <c r="I29" s="28" t="n">
        <f aca="false">I16-I25-I26</f>
        <v>0</v>
      </c>
      <c r="J29" s="28" t="n">
        <f aca="false">J16-J25-J26</f>
        <v>0</v>
      </c>
      <c r="K29" s="28" t="n">
        <f aca="false">K16-K25-K26</f>
        <v>0</v>
      </c>
      <c r="L29" s="28" t="n">
        <f aca="false">L16-L25-L26</f>
        <v>0</v>
      </c>
      <c r="M29" s="28" t="n">
        <f aca="false">M16-M25-M26</f>
        <v>0</v>
      </c>
    </row>
    <row r="30" customFormat="false" ht="15" hidden="false" customHeight="false" outlineLevel="0" collapsed="false">
      <c r="B30" s="5" t="s">
        <v>301</v>
      </c>
      <c r="D30" s="67" t="str">
        <f aca="false">IF(ABS(D29)&lt;0.5,"ok","ERRO")</f>
        <v>ok</v>
      </c>
      <c r="E30" s="67" t="str">
        <f aca="false">IF(ABS(E29)&lt;0.5,"ok","ERRO")</f>
        <v>ok</v>
      </c>
      <c r="F30" s="67" t="str">
        <f aca="false">IF(ABS(F29)&lt;0.5,"ok","ERRO")</f>
        <v>ok</v>
      </c>
      <c r="G30" s="67" t="str">
        <f aca="false">IF(ABS(G29)&lt;0.5,"ok","ERRO")</f>
        <v>ok</v>
      </c>
      <c r="H30" s="67" t="str">
        <f aca="false">IF(ABS(H29)&lt;0.5,"ok","ERRO")</f>
        <v>ok</v>
      </c>
      <c r="I30" s="67" t="str">
        <f aca="false">IF(ABS(I29)&lt;0.5,"ok","ERRO")</f>
        <v>ok</v>
      </c>
      <c r="J30" s="67" t="str">
        <f aca="false">IF(ABS(J29)&lt;0.5,"ok","ERRO")</f>
        <v>ok</v>
      </c>
      <c r="K30" s="67" t="str">
        <f aca="false">IF(ABS(K29)&lt;0.5,"ok","ERRO")</f>
        <v>ok</v>
      </c>
      <c r="L30" s="67" t="str">
        <f aca="false">IF(ABS(L29)&lt;0.5,"ok","ERRO")</f>
        <v>ok</v>
      </c>
      <c r="M30" s="67" t="str">
        <f aca="false">IF(ABS(M29)&lt;0.5,"ok","ERRO")</f>
        <v>ok</v>
      </c>
    </row>
    <row r="31" customFormat="false" ht="15" hidden="false" customHeight="false" outlineLevel="0" collapsed="false">
      <c r="B31" s="5" t="s">
        <v>302</v>
      </c>
      <c r="D31" s="5" t="str">
        <f aca="false">IF(COUNTIF(D30:M30,"ok")=10,"ok","ERRO")</f>
        <v>ok</v>
      </c>
    </row>
    <row r="33" customFormat="false" ht="15" hidden="false" customHeight="false" outlineLevel="0" collapsed="false">
      <c r="B33" s="3" t="s">
        <v>303</v>
      </c>
      <c r="D33" s="28" t="n">
        <f aca="false">D5-D19-D22</f>
        <v>4072</v>
      </c>
      <c r="E33" s="28" t="n">
        <f aca="false">E5-E19-E22</f>
        <v>-2892</v>
      </c>
      <c r="F33" s="28" t="n">
        <f aca="false">F5-F19-F22</f>
        <v>-4245</v>
      </c>
      <c r="G33" s="28" t="n">
        <f aca="false">G5-G19-G22</f>
        <v>-2641</v>
      </c>
      <c r="H33" s="28" t="n">
        <f aca="false">H5-H19-H22</f>
        <v>68274</v>
      </c>
      <c r="I33" s="28" t="n">
        <f aca="false">I5-I19-I22</f>
        <v>75321</v>
      </c>
      <c r="J33" s="28" t="n">
        <f aca="false">J5-J19-J22</f>
        <v>45821</v>
      </c>
      <c r="K33" s="28" t="n">
        <f aca="false">K5-K19-K22</f>
        <v>41321</v>
      </c>
      <c r="L33" s="28" t="n">
        <f aca="false">L5-L19-L22</f>
        <v>41821</v>
      </c>
      <c r="M33" s="28" t="n">
        <f aca="false">M5-M19-M22</f>
        <v>42473.857217756</v>
      </c>
    </row>
    <row r="34" customFormat="false" ht="15" hidden="false" customHeight="false" outlineLevel="0" collapsed="false">
      <c r="B34" s="3" t="s">
        <v>304</v>
      </c>
      <c r="D34" s="28" t="n">
        <f aca="false">D33-D23</f>
        <v>4072</v>
      </c>
      <c r="E34" s="28" t="n">
        <f aca="false">E33-E23</f>
        <v>-2892</v>
      </c>
      <c r="F34" s="28" t="n">
        <f aca="false">F33-F23</f>
        <v>-4245</v>
      </c>
      <c r="G34" s="28" t="n">
        <f aca="false">G33-G23</f>
        <v>-2783</v>
      </c>
      <c r="H34" s="28" t="n">
        <f aca="false">H33-H23</f>
        <v>55379</v>
      </c>
      <c r="I34" s="28" t="n">
        <f aca="false">I33-I23</f>
        <v>65005</v>
      </c>
      <c r="J34" s="28" t="n">
        <f aca="false">J33-J23</f>
        <v>39373.5</v>
      </c>
      <c r="K34" s="28" t="n">
        <f aca="false">K33-K23</f>
        <v>38742</v>
      </c>
      <c r="L34" s="28" t="n">
        <f aca="false">L33-L23</f>
        <v>41821</v>
      </c>
      <c r="M34" s="28" t="n">
        <f aca="false">M33-M23</f>
        <v>42473.857217756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44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305</v>
      </c>
    </row>
    <row r="2" customFormat="false" ht="15" hidden="false" customHeight="false" outlineLevel="0" collapsed="false">
      <c r="B2" s="3" t="s">
        <v>306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</row>
    <row r="5" customFormat="false" ht="15" hidden="false" customHeight="false" outlineLevel="0" collapsed="false">
      <c r="B5" s="6" t="s">
        <v>307</v>
      </c>
      <c r="D5" s="25" t="n">
        <f aca="false">DRE!D26</f>
        <v>8687</v>
      </c>
      <c r="E5" s="25" t="n">
        <f aca="false">DRE!E26</f>
        <v>-5833</v>
      </c>
      <c r="F5" s="25" t="n">
        <f aca="false">DRE!F26</f>
        <v>778</v>
      </c>
      <c r="G5" s="25" t="n">
        <f aca="false">DRE!G26</f>
        <v>8539</v>
      </c>
      <c r="H5" s="25" t="n">
        <f aca="false">DRE!H26</f>
        <v>84969</v>
      </c>
      <c r="I5" s="25" t="n">
        <f aca="false">DRE!I26</f>
        <v>194248.98370098</v>
      </c>
      <c r="J5" s="25" t="n">
        <f aca="false">DRE!J26</f>
        <v>211307.567613154</v>
      </c>
      <c r="K5" s="25" t="n">
        <f aca="false">DRE!K26</f>
        <v>131475.812329205</v>
      </c>
      <c r="L5" s="25" t="n">
        <f aca="false">DRE!L26</f>
        <v>87121.1257496644</v>
      </c>
      <c r="M5" s="25" t="n">
        <f aca="false">DRE!M26</f>
        <v>118805.065784835</v>
      </c>
    </row>
    <row r="6" customFormat="false" ht="15" hidden="false" customHeight="false" outlineLevel="0" collapsed="false">
      <c r="B6" s="6" t="s">
        <v>308</v>
      </c>
      <c r="D6" s="25" t="n">
        <f aca="false">DRE!D15</f>
        <v>7116</v>
      </c>
      <c r="E6" s="25" t="n">
        <f aca="false">DRE!E15</f>
        <v>7756</v>
      </c>
      <c r="F6" s="25" t="n">
        <f aca="false">DRE!F15</f>
        <v>7780</v>
      </c>
      <c r="G6" s="25" t="n">
        <f aca="false">DRE!G15</f>
        <v>8352</v>
      </c>
      <c r="H6" s="25" t="n">
        <f aca="false">DRE!H15</f>
        <v>9503</v>
      </c>
      <c r="I6" s="25" t="n">
        <f aca="false">DRE!I15</f>
        <v>12472.07</v>
      </c>
      <c r="J6" s="25" t="n">
        <f aca="false">DRE!J15</f>
        <v>16968.25845</v>
      </c>
      <c r="K6" s="25" t="n">
        <f aca="false">DRE!K15</f>
        <v>23019.147448</v>
      </c>
      <c r="L6" s="25" t="n">
        <f aca="false">DRE!L15</f>
        <v>27004.58909734</v>
      </c>
      <c r="M6" s="25" t="n">
        <f aca="false">DRE!M15</f>
        <v>29132.2683008388</v>
      </c>
    </row>
    <row r="7" customFormat="false" ht="15" hidden="false" customHeight="false" outlineLevel="0" collapsed="false">
      <c r="B7" s="6" t="s">
        <v>266</v>
      </c>
      <c r="D7" s="25" t="n">
        <f aca="false">DRE!D35</f>
        <v>514</v>
      </c>
      <c r="E7" s="25" t="n">
        <f aca="false">DRE!E35</f>
        <v>596</v>
      </c>
      <c r="F7" s="25" t="n">
        <f aca="false">DRE!F35</f>
        <v>833</v>
      </c>
      <c r="G7" s="25" t="n">
        <f aca="false">DRE!G35</f>
        <v>972</v>
      </c>
      <c r="H7" s="25" t="n">
        <f aca="false">DRE!H35</f>
        <v>1333</v>
      </c>
      <c r="I7" s="25" t="n">
        <f aca="false">DRE!I35</f>
        <v>1991.68319804</v>
      </c>
      <c r="J7" s="25" t="n">
        <f aca="false">DRE!J35</f>
        <v>2284.00236557696</v>
      </c>
      <c r="K7" s="25" t="n">
        <f aca="false">DRE!K35</f>
        <v>2497.05995169103</v>
      </c>
      <c r="L7" s="25" t="n">
        <f aca="false">DRE!L35</f>
        <v>2550.64148688175</v>
      </c>
      <c r="M7" s="25" t="n">
        <f aca="false">DRE!M35</f>
        <v>2751.58084644574</v>
      </c>
    </row>
    <row r="8" customFormat="false" ht="15" hidden="false" customHeight="false" outlineLevel="0" collapsed="false">
      <c r="B8" s="6" t="s">
        <v>309</v>
      </c>
      <c r="C8" s="3" t="s">
        <v>310</v>
      </c>
      <c r="E8" s="64" t="n">
        <v>1932</v>
      </c>
      <c r="I8" s="66" t="n">
        <f aca="false">0</f>
        <v>0</v>
      </c>
      <c r="J8" s="66" t="n">
        <f aca="false">0</f>
        <v>0</v>
      </c>
      <c r="K8" s="66" t="n">
        <f aca="false">0</f>
        <v>0</v>
      </c>
      <c r="L8" s="66" t="n">
        <f aca="false">0</f>
        <v>0</v>
      </c>
      <c r="M8" s="66" t="n">
        <f aca="false">0</f>
        <v>0</v>
      </c>
    </row>
    <row r="9" customFormat="false" ht="15" hidden="false" customHeight="false" outlineLevel="0" collapsed="false">
      <c r="B9" s="6" t="s">
        <v>311</v>
      </c>
      <c r="D9" s="64" t="n">
        <v>190</v>
      </c>
      <c r="E9" s="64" t="n">
        <v>2763</v>
      </c>
      <c r="F9" s="64" t="n">
        <v>-3581</v>
      </c>
      <c r="G9" s="64" t="n">
        <v>-1776</v>
      </c>
      <c r="H9" s="64" t="n">
        <v>-25206</v>
      </c>
      <c r="I9" s="66" t="n">
        <f aca="false">-(BP!I9-BP!H9)</f>
        <v>-16874.6858926027</v>
      </c>
      <c r="J9" s="66" t="n">
        <f aca="false">-(BP!J9-BP!I9)</f>
        <v>376.606081166028</v>
      </c>
      <c r="K9" s="66" t="n">
        <f aca="false">-(BP!K9-BP!J9)</f>
        <v>19950.5868259086</v>
      </c>
      <c r="L9" s="66" t="n">
        <f aca="false">-(BP!L9-BP!K9)</f>
        <v>7624.01993001796</v>
      </c>
      <c r="M9" s="66" t="n">
        <f aca="false">-(BP!M9-BP!L9)</f>
        <v>-8888.14797379146</v>
      </c>
    </row>
    <row r="10" customFormat="false" ht="15" hidden="false" customHeight="false" outlineLevel="0" collapsed="false">
      <c r="B10" s="6" t="s">
        <v>312</v>
      </c>
      <c r="D10" s="64" t="n">
        <v>-2179</v>
      </c>
      <c r="E10" s="64" t="n">
        <v>-3555</v>
      </c>
      <c r="F10" s="64" t="n">
        <v>-488</v>
      </c>
      <c r="G10" s="64" t="n">
        <v>520</v>
      </c>
      <c r="H10" s="64" t="n">
        <v>-2017</v>
      </c>
      <c r="I10" s="66" t="n">
        <f aca="false">-(BP!I10-BP!H10)</f>
        <v>-2547.75287067398</v>
      </c>
      <c r="J10" s="66" t="n">
        <f aca="false">-(BP!J10-BP!I10)</f>
        <v>-1657.47912780981</v>
      </c>
      <c r="K10" s="66" t="n">
        <f aca="false">-(BP!K10-BP!J10)</f>
        <v>-6704.31628438904</v>
      </c>
      <c r="L10" s="66" t="n">
        <f aca="false">-(BP!L10-BP!K10)</f>
        <v>-2603.17627926692</v>
      </c>
      <c r="M10" s="66" t="n">
        <f aca="false">-(BP!M10-BP!L10)</f>
        <v>2042.85145602454</v>
      </c>
    </row>
    <row r="11" customFormat="false" ht="15" hidden="false" customHeight="false" outlineLevel="0" collapsed="false">
      <c r="B11" s="6" t="s">
        <v>313</v>
      </c>
      <c r="I11" s="66" t="n">
        <f aca="false">-(BP!I11-BP!H11)-(BP!I15-BP!H15)-(BP!I14-BP!H14)</f>
        <v>-0</v>
      </c>
      <c r="J11" s="66" t="n">
        <f aca="false">-(BP!J11-BP!I11)-(BP!J15-BP!I15)-(BP!J14-BP!I14)</f>
        <v>-0</v>
      </c>
      <c r="K11" s="66" t="n">
        <f aca="false">-(BP!K11-BP!J11)-(BP!K15-BP!J15)-(BP!K14-BP!J14)</f>
        <v>-0</v>
      </c>
      <c r="L11" s="66" t="n">
        <f aca="false">-(BP!L11-BP!K11)-(BP!L15-BP!K15)-(BP!L14-BP!K14)</f>
        <v>-0</v>
      </c>
      <c r="M11" s="66" t="n">
        <f aca="false">-(BP!M11-BP!L11)-(BP!M15-BP!L15)-(BP!M14-BP!L14)</f>
        <v>-0</v>
      </c>
    </row>
    <row r="12" customFormat="false" ht="15" hidden="false" customHeight="false" outlineLevel="0" collapsed="false">
      <c r="B12" s="6" t="s">
        <v>314</v>
      </c>
      <c r="D12" s="64" t="n">
        <v>744</v>
      </c>
      <c r="E12" s="64" t="n">
        <v>-1302</v>
      </c>
      <c r="F12" s="64" t="n">
        <v>1915</v>
      </c>
      <c r="G12" s="64" t="n">
        <v>862</v>
      </c>
      <c r="H12" s="64" t="n">
        <v>8707</v>
      </c>
      <c r="I12" s="66" t="n">
        <f aca="false">BP!I18-BP!H18</f>
        <v>5404.23523107947</v>
      </c>
      <c r="J12" s="66" t="n">
        <f aca="false">BP!J18-BP!I18</f>
        <v>461.921015959189</v>
      </c>
      <c r="K12" s="66" t="n">
        <f aca="false">BP!K18-BP!J18</f>
        <v>-7189.60796416583</v>
      </c>
      <c r="L12" s="66" t="n">
        <f aca="false">BP!L18-BP!K18</f>
        <v>-1305.23319453777</v>
      </c>
      <c r="M12" s="66" t="n">
        <f aca="false">BP!M18-BP!L18</f>
        <v>3096.0860800965</v>
      </c>
    </row>
    <row r="13" customFormat="false" ht="15" hidden="false" customHeight="false" outlineLevel="0" collapsed="false">
      <c r="B13" s="6" t="s">
        <v>315</v>
      </c>
      <c r="C13" s="3" t="s">
        <v>249</v>
      </c>
      <c r="D13" s="64" t="n">
        <v>109</v>
      </c>
      <c r="E13" s="64" t="n">
        <v>-798</v>
      </c>
      <c r="F13" s="64" t="n">
        <v>1270</v>
      </c>
      <c r="G13" s="64" t="n">
        <v>56</v>
      </c>
      <c r="H13" s="64" t="n">
        <v>12386</v>
      </c>
      <c r="I13" s="66" t="n">
        <f aca="false">(BP!I20-BP!H20)+(BP!I24-BP!H24)</f>
        <v>0</v>
      </c>
      <c r="J13" s="66" t="n">
        <f aca="false">(BP!J20-BP!I20)+(BP!J24-BP!I24)</f>
        <v>0</v>
      </c>
      <c r="K13" s="66" t="n">
        <f aca="false">(BP!K20-BP!J20)+(BP!K24-BP!J24)</f>
        <v>0</v>
      </c>
      <c r="L13" s="66" t="n">
        <f aca="false">(BP!L20-BP!K20)+(BP!L24-BP!K24)</f>
        <v>0</v>
      </c>
      <c r="M13" s="66" t="n">
        <f aca="false">(BP!M20-BP!L20)+(BP!M24-BP!L24)</f>
        <v>0</v>
      </c>
    </row>
    <row r="14" customFormat="false" ht="15" hidden="false" customHeight="false" outlineLevel="0" collapsed="false">
      <c r="B14" s="5" t="s">
        <v>316</v>
      </c>
      <c r="D14" s="67" t="n">
        <f aca="false">SUM(D5:D13)</f>
        <v>15181</v>
      </c>
      <c r="E14" s="67" t="n">
        <f aca="false">SUM(E5:E13)</f>
        <v>1559</v>
      </c>
      <c r="F14" s="67" t="n">
        <f aca="false">SUM(F5:F13)</f>
        <v>8507</v>
      </c>
      <c r="G14" s="67" t="n">
        <f aca="false">SUM(G5:G13)</f>
        <v>17525</v>
      </c>
      <c r="H14" s="67" t="n">
        <f aca="false">SUM(H5:H13)</f>
        <v>89675</v>
      </c>
      <c r="I14" s="67" t="n">
        <f aca="false">SUM(I5:I13)</f>
        <v>194694.533366823</v>
      </c>
      <c r="J14" s="67" t="n">
        <f aca="false">SUM(J5:J13)</f>
        <v>229740.876398046</v>
      </c>
      <c r="K14" s="67" t="n">
        <f aca="false">SUM(K5:K13)</f>
        <v>163048.682306249</v>
      </c>
      <c r="L14" s="67" t="n">
        <f aca="false">SUM(L5:L13)</f>
        <v>120391.966790099</v>
      </c>
      <c r="M14" s="67" t="n">
        <f aca="false">SUM(M5:M13)</f>
        <v>146939.704494449</v>
      </c>
    </row>
    <row r="15" customFormat="false" ht="15" hidden="false" customHeight="false" outlineLevel="0" collapsed="false">
      <c r="B15" s="3" t="s">
        <v>317</v>
      </c>
      <c r="D15" s="64" t="n">
        <v>15181</v>
      </c>
      <c r="E15" s="64" t="n">
        <v>1559</v>
      </c>
      <c r="F15" s="64" t="n">
        <v>8507</v>
      </c>
      <c r="G15" s="64" t="n">
        <v>17525</v>
      </c>
      <c r="H15" s="64" t="n">
        <v>89675</v>
      </c>
    </row>
    <row r="17" customFormat="false" ht="15" hidden="false" customHeight="false" outlineLevel="0" collapsed="false">
      <c r="B17" s="6" t="s">
        <v>318</v>
      </c>
      <c r="C17" s="3" t="s">
        <v>319</v>
      </c>
      <c r="D17" s="64" t="n">
        <v>-11980</v>
      </c>
      <c r="E17" s="64" t="n">
        <v>-7010</v>
      </c>
      <c r="F17" s="64" t="n">
        <v>-8120</v>
      </c>
      <c r="G17" s="64" t="n">
        <v>-13800</v>
      </c>
      <c r="H17" s="64" t="n">
        <v>-27370</v>
      </c>
      <c r="I17" s="25" t="n">
        <f aca="false">-Premissas!I71</f>
        <v>-52000</v>
      </c>
      <c r="J17" s="25" t="n">
        <f aca="false">-Premissas!J71</f>
        <v>-58000</v>
      </c>
      <c r="K17" s="25" t="n">
        <f aca="false">-Premissas!K71</f>
        <v>-38000</v>
      </c>
      <c r="L17" s="25" t="n">
        <f aca="false">-Premissas!L71</f>
        <v>-30000</v>
      </c>
      <c r="M17" s="25" t="n">
        <f aca="false">-Premissas!M71</f>
        <v>-36000</v>
      </c>
    </row>
    <row r="18" customFormat="false" ht="15" hidden="false" customHeight="false" outlineLevel="0" collapsed="false">
      <c r="B18" s="6" t="s">
        <v>320</v>
      </c>
      <c r="E18" s="64" t="n">
        <v>868</v>
      </c>
      <c r="F18" s="64" t="n">
        <v>-205</v>
      </c>
      <c r="G18" s="64" t="n">
        <v>-192</v>
      </c>
      <c r="H18" s="64" t="n">
        <v>-32883</v>
      </c>
      <c r="I18" s="66" t="n">
        <f aca="false">0</f>
        <v>0</v>
      </c>
      <c r="J18" s="66" t="n">
        <f aca="false">0</f>
        <v>0</v>
      </c>
      <c r="K18" s="66" t="n">
        <f aca="false">0</f>
        <v>0</v>
      </c>
      <c r="L18" s="66" t="n">
        <f aca="false">0</f>
        <v>0</v>
      </c>
      <c r="M18" s="66" t="n">
        <f aca="false">0</f>
        <v>0</v>
      </c>
    </row>
    <row r="19" customFormat="false" ht="15" hidden="false" customHeight="false" outlineLevel="0" collapsed="false">
      <c r="B19" s="6" t="s">
        <v>321</v>
      </c>
      <c r="D19" s="66" t="n">
        <f aca="false">D21-D17-D18</f>
        <v>395</v>
      </c>
      <c r="E19" s="66" t="n">
        <f aca="false">E21-E17-E18</f>
        <v>-49</v>
      </c>
      <c r="F19" s="66" t="n">
        <f aca="false">F21-F17-F18</f>
        <v>16</v>
      </c>
      <c r="G19" s="66" t="n">
        <f aca="false">G21-G17-G18</f>
        <v>-95</v>
      </c>
      <c r="H19" s="66" t="n">
        <f aca="false">H21-H17-H18</f>
        <v>-1388</v>
      </c>
      <c r="I19" s="66" t="n">
        <f aca="false">0</f>
        <v>0</v>
      </c>
      <c r="J19" s="66" t="n">
        <f aca="false">0</f>
        <v>0</v>
      </c>
      <c r="K19" s="66" t="n">
        <f aca="false">0</f>
        <v>0</v>
      </c>
      <c r="L19" s="66" t="n">
        <f aca="false">0</f>
        <v>0</v>
      </c>
      <c r="M19" s="66" t="n">
        <f aca="false">0</f>
        <v>0</v>
      </c>
    </row>
    <row r="20" customFormat="false" ht="15" hidden="false" customHeight="false" outlineLevel="0" collapsed="false">
      <c r="B20" s="5" t="s">
        <v>322</v>
      </c>
      <c r="D20" s="67" t="n">
        <f aca="false">D17+D18+D19</f>
        <v>-11585</v>
      </c>
      <c r="E20" s="67" t="n">
        <f aca="false">E17+E18+E19</f>
        <v>-6191</v>
      </c>
      <c r="F20" s="67" t="n">
        <f aca="false">F17+F18+F19</f>
        <v>-8309</v>
      </c>
      <c r="G20" s="67" t="n">
        <f aca="false">G17+G18+G19</f>
        <v>-14087</v>
      </c>
      <c r="H20" s="67" t="n">
        <f aca="false">H17+H18+H19</f>
        <v>-61641</v>
      </c>
      <c r="I20" s="67" t="n">
        <f aca="false">I17+I18+I19</f>
        <v>-52000</v>
      </c>
      <c r="J20" s="67" t="n">
        <f aca="false">J17+J18+J19</f>
        <v>-58000</v>
      </c>
      <c r="K20" s="67" t="n">
        <f aca="false">K17+K18+K19</f>
        <v>-38000</v>
      </c>
      <c r="L20" s="67" t="n">
        <f aca="false">L17+L18+L19</f>
        <v>-30000</v>
      </c>
      <c r="M20" s="67" t="n">
        <f aca="false">M17+M18+M19</f>
        <v>-36000</v>
      </c>
    </row>
    <row r="21" customFormat="false" ht="15" hidden="false" customHeight="false" outlineLevel="0" collapsed="false">
      <c r="B21" s="3" t="s">
        <v>323</v>
      </c>
      <c r="D21" s="64" t="n">
        <v>-11585</v>
      </c>
      <c r="E21" s="64" t="n">
        <v>-6191</v>
      </c>
      <c r="F21" s="64" t="n">
        <v>-8309</v>
      </c>
      <c r="G21" s="64" t="n">
        <v>-14087</v>
      </c>
      <c r="H21" s="64" t="n">
        <v>-61641</v>
      </c>
    </row>
    <row r="23" customFormat="false" ht="15" hidden="false" customHeight="false" outlineLevel="0" collapsed="false">
      <c r="B23" s="5" t="s">
        <v>324</v>
      </c>
      <c r="D23" s="67" t="n">
        <f aca="false">D14+D17</f>
        <v>3201</v>
      </c>
      <c r="E23" s="67" t="n">
        <f aca="false">E14+E17</f>
        <v>-5451</v>
      </c>
      <c r="F23" s="67" t="n">
        <f aca="false">F14+F17</f>
        <v>387</v>
      </c>
      <c r="G23" s="67" t="n">
        <f aca="false">G14+G17</f>
        <v>3725</v>
      </c>
      <c r="H23" s="67" t="n">
        <f aca="false">H14+H17</f>
        <v>62305</v>
      </c>
      <c r="I23" s="67" t="n">
        <f aca="false">I14+I17</f>
        <v>142694.533366823</v>
      </c>
      <c r="J23" s="67" t="n">
        <f aca="false">J14+J17</f>
        <v>171740.876398046</v>
      </c>
      <c r="K23" s="67" t="n">
        <f aca="false">K14+K17</f>
        <v>125048.682306249</v>
      </c>
      <c r="L23" s="67" t="n">
        <f aca="false">L14+L17</f>
        <v>90391.9667900994</v>
      </c>
      <c r="M23" s="67" t="n">
        <f aca="false">M14+M17</f>
        <v>110939.704494449</v>
      </c>
    </row>
    <row r="24" customFormat="false" ht="15" hidden="false" customHeight="false" outlineLevel="0" collapsed="false">
      <c r="B24" s="3" t="s">
        <v>325</v>
      </c>
      <c r="D24" s="64" t="n">
        <v>3210</v>
      </c>
      <c r="E24" s="64" t="n">
        <v>-5450</v>
      </c>
      <c r="F24" s="64" t="n">
        <v>386</v>
      </c>
      <c r="G24" s="64" t="n">
        <v>3720</v>
      </c>
      <c r="H24" s="64" t="n">
        <v>62310</v>
      </c>
    </row>
    <row r="25" customFormat="false" ht="15" hidden="false" customHeight="false" outlineLevel="0" collapsed="false">
      <c r="B25" s="3" t="s">
        <v>326</v>
      </c>
      <c r="D25" s="14" t="n">
        <f aca="false">D23/DRE!D5</f>
        <v>0.10407048572729</v>
      </c>
      <c r="E25" s="14" t="n">
        <f aca="false">E23/DRE!E5</f>
        <v>-0.350772200772201</v>
      </c>
      <c r="F25" s="14" t="n">
        <f aca="false">F23/DRE!F5</f>
        <v>0.015411572617578</v>
      </c>
      <c r="G25" s="14" t="n">
        <f aca="false">G23/DRE!G5</f>
        <v>0.0996575525710311</v>
      </c>
      <c r="H25" s="14" t="n">
        <f aca="false">H23/DRE!H5</f>
        <v>0.46779739916509</v>
      </c>
      <c r="I25" s="14" t="n">
        <f aca="false">I23/DRE!I5</f>
        <v>0.523009931801858</v>
      </c>
      <c r="J25" s="14" t="n">
        <f aca="false">J23/DRE!J5</f>
        <v>0.571466422406895</v>
      </c>
      <c r="K25" s="14" t="n">
        <f aca="false">K23/DRE!K5</f>
        <v>0.5859168827694</v>
      </c>
      <c r="L25" s="14" t="n">
        <f aca="false">L23/DRE!L5</f>
        <v>0.542215399146229</v>
      </c>
      <c r="M25" s="14" t="n">
        <f aca="false">M23/DRE!M5</f>
        <v>0.53623649535215</v>
      </c>
    </row>
    <row r="27" customFormat="false" ht="15" hidden="false" customHeight="false" outlineLevel="0" collapsed="false">
      <c r="B27" s="6" t="s">
        <v>327</v>
      </c>
      <c r="D27" s="64" t="n">
        <v>-461</v>
      </c>
      <c r="E27" s="64" t="n">
        <v>-504</v>
      </c>
      <c r="F27" s="64" t="n">
        <v>-513</v>
      </c>
      <c r="G27" s="64" t="n">
        <v>-522</v>
      </c>
      <c r="H27" s="64" t="n">
        <v>-610</v>
      </c>
      <c r="I27" s="25" t="n">
        <f aca="false">-Suporte!I56</f>
        <v>-802.4412</v>
      </c>
      <c r="J27" s="25" t="n">
        <f aca="false">-Suporte!J56</f>
        <v>-932.950143342652</v>
      </c>
      <c r="K27" s="25" t="n">
        <f aca="false">-Suporte!K56</f>
        <v>-926.427462450783</v>
      </c>
      <c r="L27" s="25" t="n">
        <f aca="false">-Suporte!L56</f>
        <v>-841.677630453269</v>
      </c>
      <c r="M27" s="25" t="n">
        <f aca="false">-Suporte!M56</f>
        <v>-763.943789003787</v>
      </c>
    </row>
    <row r="28" customFormat="false" ht="15" hidden="false" customHeight="false" outlineLevel="0" collapsed="false">
      <c r="B28" s="6" t="s">
        <v>328</v>
      </c>
      <c r="D28" s="64" t="n">
        <v>-2432</v>
      </c>
      <c r="E28" s="64" t="n">
        <v>-425</v>
      </c>
      <c r="F28" s="64" t="n">
        <v>-300</v>
      </c>
      <c r="G28" s="64" t="n">
        <v>0</v>
      </c>
      <c r="H28" s="64" t="n">
        <v>-650</v>
      </c>
      <c r="I28" s="25" t="n">
        <f aca="false">-Suporte!I47</f>
        <v>-132266.092166823</v>
      </c>
      <c r="J28" s="25" t="n">
        <f aca="false">-Suporte!J47</f>
        <v>-196439.426254703</v>
      </c>
      <c r="K28" s="25" t="n">
        <f aca="false">-Suporte!K47</f>
        <v>-124753.754843799</v>
      </c>
      <c r="L28" s="25" t="n">
        <f aca="false">-Suporte!L47</f>
        <v>-86471.2891596461</v>
      </c>
      <c r="M28" s="25" t="n">
        <f aca="false">-Suporte!M47</f>
        <v>-109522.903487689</v>
      </c>
    </row>
    <row r="29" customFormat="false" ht="15" hidden="false" customHeight="false" outlineLevel="0" collapsed="false">
      <c r="B29" s="6" t="s">
        <v>329</v>
      </c>
      <c r="D29" s="64" t="n">
        <v>-30</v>
      </c>
      <c r="E29" s="64" t="n">
        <v>5955</v>
      </c>
      <c r="F29" s="64" t="n">
        <v>-898</v>
      </c>
      <c r="G29" s="64" t="n">
        <v>-189</v>
      </c>
      <c r="H29" s="64" t="n">
        <v>-10043</v>
      </c>
      <c r="I29" s="25" t="n">
        <f aca="false">Suporte!I30</f>
        <v>-500</v>
      </c>
      <c r="J29" s="25" t="n">
        <f aca="false">Suporte!J30</f>
        <v>-500</v>
      </c>
      <c r="K29" s="25" t="n">
        <f aca="false">Suporte!K30</f>
        <v>-500</v>
      </c>
      <c r="L29" s="25" t="n">
        <f aca="false">Suporte!L30</f>
        <v>-500</v>
      </c>
      <c r="M29" s="25" t="n">
        <f aca="false">Suporte!M30</f>
        <v>-652.857217756029</v>
      </c>
    </row>
    <row r="30" customFormat="false" ht="15" hidden="false" customHeight="false" outlineLevel="0" collapsed="false">
      <c r="B30" s="6" t="s">
        <v>330</v>
      </c>
      <c r="D30" s="64" t="n">
        <v>0</v>
      </c>
      <c r="E30" s="64" t="n">
        <v>0</v>
      </c>
      <c r="F30" s="64" t="n">
        <v>0</v>
      </c>
      <c r="G30" s="64" t="n">
        <v>0</v>
      </c>
      <c r="H30" s="64" t="n">
        <v>12747</v>
      </c>
      <c r="I30" s="25" t="n">
        <f aca="false">Suporte!I60</f>
        <v>-2579</v>
      </c>
      <c r="J30" s="25" t="n">
        <f aca="false">Suporte!J60</f>
        <v>-3868.5</v>
      </c>
      <c r="K30" s="25" t="n">
        <f aca="false">Suporte!K60</f>
        <v>-3868.5</v>
      </c>
      <c r="L30" s="25" t="n">
        <f aca="false">Suporte!L60</f>
        <v>-2579</v>
      </c>
      <c r="M30" s="25" t="n">
        <f aca="false">Suporte!M60</f>
        <v>-0</v>
      </c>
    </row>
    <row r="31" customFormat="false" ht="15" hidden="false" customHeight="false" outlineLevel="0" collapsed="false">
      <c r="B31" s="6" t="s">
        <v>331</v>
      </c>
      <c r="D31" s="66" t="n">
        <f aca="false">D33-D27-D28-D29-D30</f>
        <v>-57</v>
      </c>
      <c r="E31" s="66" t="n">
        <f aca="false">E33-E27-E28-E29-E30</f>
        <v>-43</v>
      </c>
      <c r="F31" s="66" t="n">
        <f aca="false">F33-F27-F28-F29-F30</f>
        <v>-131</v>
      </c>
      <c r="G31" s="66" t="n">
        <f aca="false">G33-G27-G28-G29-G30</f>
        <v>-139</v>
      </c>
      <c r="H31" s="66" t="n">
        <f aca="false">H33-H27-H28-H29-H30</f>
        <v>-814</v>
      </c>
      <c r="I31" s="66" t="n">
        <f aca="false">0</f>
        <v>0</v>
      </c>
      <c r="J31" s="66" t="n">
        <f aca="false">0</f>
        <v>0</v>
      </c>
      <c r="K31" s="66" t="n">
        <f aca="false">0</f>
        <v>0</v>
      </c>
      <c r="L31" s="66" t="n">
        <f aca="false">0</f>
        <v>0</v>
      </c>
      <c r="M31" s="66" t="n">
        <f aca="false">0</f>
        <v>0</v>
      </c>
    </row>
    <row r="32" customFormat="false" ht="15" hidden="false" customHeight="false" outlineLevel="0" collapsed="false">
      <c r="B32" s="5" t="s">
        <v>332</v>
      </c>
      <c r="D32" s="67" t="n">
        <f aca="false">D23+D27+D28+D29+D30+D31</f>
        <v>221</v>
      </c>
      <c r="E32" s="67" t="n">
        <f aca="false">E23+E27+E28+E29+E30+E31</f>
        <v>-468</v>
      </c>
      <c r="F32" s="67" t="n">
        <f aca="false">F23+F27+F28+F29+F30+F31</f>
        <v>-1455</v>
      </c>
      <c r="G32" s="67" t="n">
        <f aca="false">G23+G27+G28+G29+G30+G31</f>
        <v>2875</v>
      </c>
      <c r="H32" s="67" t="n">
        <f aca="false">H23+H27+H28+H29+H30+H31</f>
        <v>62935</v>
      </c>
      <c r="I32" s="67" t="n">
        <f aca="false">I23+I27+I28+I29+I30+I31</f>
        <v>6547</v>
      </c>
      <c r="J32" s="67" t="n">
        <f aca="false">J23+J27+J28+J29+J30+J31</f>
        <v>-30000</v>
      </c>
      <c r="K32" s="67" t="n">
        <f aca="false">K23+K27+K28+K29+K30+K31</f>
        <v>-5000</v>
      </c>
      <c r="L32" s="67" t="n">
        <f aca="false">L23+L27+L28+L29+L30+L31</f>
        <v>0</v>
      </c>
      <c r="M32" s="67" t="n">
        <f aca="false">M23+M27+M28+M29+M30+M31</f>
        <v>0</v>
      </c>
    </row>
    <row r="33" customFormat="false" ht="15" hidden="false" customHeight="false" outlineLevel="0" collapsed="false">
      <c r="B33" s="3" t="s">
        <v>333</v>
      </c>
      <c r="D33" s="64" t="n">
        <v>-2980</v>
      </c>
      <c r="E33" s="64" t="n">
        <v>4983</v>
      </c>
      <c r="F33" s="64" t="n">
        <v>-1842</v>
      </c>
      <c r="G33" s="64" t="n">
        <v>-850</v>
      </c>
      <c r="H33" s="64" t="n">
        <v>630</v>
      </c>
    </row>
    <row r="34" customFormat="false" ht="15" hidden="false" customHeight="false" outlineLevel="0" collapsed="false">
      <c r="B34" s="6" t="s">
        <v>334</v>
      </c>
      <c r="D34" s="64" t="n">
        <v>-106</v>
      </c>
      <c r="E34" s="64" t="n">
        <v>-34</v>
      </c>
      <c r="F34" s="64" t="n">
        <v>40</v>
      </c>
      <c r="G34" s="64" t="n">
        <v>6</v>
      </c>
      <c r="H34" s="64" t="n">
        <v>81</v>
      </c>
      <c r="I34" s="66" t="n">
        <f aca="false">0</f>
        <v>0</v>
      </c>
      <c r="J34" s="66" t="n">
        <f aca="false">0</f>
        <v>0</v>
      </c>
      <c r="K34" s="66" t="n">
        <f aca="false">0</f>
        <v>0</v>
      </c>
      <c r="L34" s="66" t="n">
        <f aca="false">0</f>
        <v>0</v>
      </c>
      <c r="M34" s="66" t="n">
        <f aca="false">0</f>
        <v>0</v>
      </c>
    </row>
    <row r="35" customFormat="false" ht="15" hidden="false" customHeight="false" outlineLevel="0" collapsed="false">
      <c r="B35" s="5" t="s">
        <v>335</v>
      </c>
      <c r="D35" s="67" t="n">
        <f aca="false">D14+D20+D27+D28+D29+D30+D31+D34</f>
        <v>510</v>
      </c>
      <c r="E35" s="67" t="n">
        <f aca="false">E14+E20+E27+E28+E29+E30+E31+E34</f>
        <v>317</v>
      </c>
      <c r="F35" s="67" t="n">
        <f aca="false">F14+F20+F27+F28+F29+F30+F31+F34</f>
        <v>-1604</v>
      </c>
      <c r="G35" s="67" t="n">
        <f aca="false">G14+G20+G27+G28+G29+G30+G31+G34</f>
        <v>2594</v>
      </c>
      <c r="H35" s="67" t="n">
        <f aca="false">H14+H20+H27+H28+H29+H30+H31+H34</f>
        <v>28745</v>
      </c>
      <c r="I35" s="67" t="n">
        <f aca="false">I14+I20+I27+I28+I29+I30+I31+I34</f>
        <v>6547</v>
      </c>
      <c r="J35" s="67" t="n">
        <f aca="false">J14+J20+J27+J28+J29+J30+J31+J34</f>
        <v>-30000</v>
      </c>
      <c r="K35" s="67" t="n">
        <f aca="false">K14+K20+K27+K28+K29+K30+K31+K34</f>
        <v>-5000</v>
      </c>
      <c r="L35" s="67" t="n">
        <f aca="false">L14+L20+L27+L28+L29+L30+L31+L34</f>
        <v>0</v>
      </c>
      <c r="M35" s="67" t="n">
        <f aca="false">M14+M20+M27+M28+M29+M30+M31+M34</f>
        <v>0</v>
      </c>
    </row>
    <row r="36" customFormat="false" ht="15" hidden="false" customHeight="false" outlineLevel="0" collapsed="false">
      <c r="B36" s="3" t="s">
        <v>336</v>
      </c>
      <c r="C36" s="3" t="s">
        <v>337</v>
      </c>
      <c r="D36" s="64" t="n">
        <v>510</v>
      </c>
      <c r="E36" s="64" t="n">
        <v>317</v>
      </c>
      <c r="F36" s="64" t="n">
        <v>-1604</v>
      </c>
      <c r="G36" s="64" t="n">
        <v>2594</v>
      </c>
      <c r="H36" s="64" t="n">
        <v>28745</v>
      </c>
    </row>
    <row r="37" customFormat="false" ht="15" hidden="false" customHeight="false" outlineLevel="0" collapsed="false">
      <c r="B37" s="6" t="s">
        <v>338</v>
      </c>
      <c r="E37" s="25" t="n">
        <f aca="false">BP!D5</f>
        <v>10978</v>
      </c>
      <c r="F37" s="25" t="n">
        <f aca="false">BP!E5</f>
        <v>10438</v>
      </c>
      <c r="G37" s="25" t="n">
        <f aca="false">BP!F5</f>
        <v>9152</v>
      </c>
      <c r="H37" s="25" t="n">
        <f aca="false">BP!G5</f>
        <v>11936</v>
      </c>
      <c r="I37" s="25" t="n">
        <f aca="false">BP!H5</f>
        <v>73453</v>
      </c>
      <c r="J37" s="25" t="n">
        <f aca="false">BP!I5</f>
        <v>80000</v>
      </c>
      <c r="K37" s="25" t="n">
        <f aca="false">BP!J5</f>
        <v>50000</v>
      </c>
      <c r="L37" s="25" t="n">
        <f aca="false">BP!K5</f>
        <v>45000</v>
      </c>
      <c r="M37" s="25" t="n">
        <f aca="false">BP!L5</f>
        <v>45000</v>
      </c>
    </row>
    <row r="38" customFormat="false" ht="15" hidden="false" customHeight="false" outlineLevel="0" collapsed="false">
      <c r="B38" s="5" t="s">
        <v>339</v>
      </c>
      <c r="C38" s="3" t="s">
        <v>340</v>
      </c>
      <c r="E38" s="23" t="n">
        <f aca="false">BP!E5</f>
        <v>10438</v>
      </c>
      <c r="F38" s="23" t="n">
        <f aca="false">BP!F5</f>
        <v>9152</v>
      </c>
      <c r="G38" s="23" t="n">
        <f aca="false">BP!G5</f>
        <v>11936</v>
      </c>
      <c r="H38" s="23" t="n">
        <f aca="false">BP!H5</f>
        <v>73453</v>
      </c>
      <c r="I38" s="67" t="n">
        <f aca="false">I37+I35</f>
        <v>80000</v>
      </c>
      <c r="J38" s="67" t="n">
        <f aca="false">J37+J35</f>
        <v>50000</v>
      </c>
      <c r="K38" s="67" t="n">
        <f aca="false">K37+K35</f>
        <v>45000</v>
      </c>
      <c r="L38" s="67" t="n">
        <f aca="false">L37+L35</f>
        <v>45000</v>
      </c>
      <c r="M38" s="67" t="n">
        <f aca="false">M37+M35</f>
        <v>45000</v>
      </c>
    </row>
    <row r="39" customFormat="false" ht="15" hidden="false" customHeight="false" outlineLevel="0" collapsed="false">
      <c r="B39" s="3" t="s">
        <v>341</v>
      </c>
      <c r="D39" s="28" t="n">
        <f aca="false">D35-D36</f>
        <v>0</v>
      </c>
      <c r="E39" s="28" t="n">
        <f aca="false">E35-E36</f>
        <v>0</v>
      </c>
      <c r="F39" s="28" t="n">
        <f aca="false">F35-F36</f>
        <v>0</v>
      </c>
      <c r="G39" s="28" t="n">
        <f aca="false">G35-G36</f>
        <v>0</v>
      </c>
      <c r="H39" s="28" t="n">
        <f aca="false">H35-H36</f>
        <v>0</v>
      </c>
      <c r="I39" s="28" t="n">
        <f aca="false">BP!I5-I38</f>
        <v>0</v>
      </c>
      <c r="J39" s="28" t="n">
        <f aca="false">BP!J5-J38</f>
        <v>0</v>
      </c>
      <c r="K39" s="28" t="n">
        <f aca="false">BP!K5-K38</f>
        <v>0</v>
      </c>
      <c r="L39" s="28" t="n">
        <f aca="false">BP!L5-L38</f>
        <v>0</v>
      </c>
      <c r="M39" s="28" t="n">
        <f aca="false">BP!M5-M38</f>
        <v>0</v>
      </c>
    </row>
    <row r="40" customFormat="false" ht="15" hidden="false" customHeight="false" outlineLevel="0" collapsed="false">
      <c r="B40" s="5" t="s">
        <v>342</v>
      </c>
      <c r="D40" s="67" t="str">
        <f aca="false">IF(ABS(D39)&lt;0.5,"ok","ERRO")</f>
        <v>ok</v>
      </c>
      <c r="E40" s="67" t="str">
        <f aca="false">IF(ABS(E39)&lt;0.5,"ok","ERRO")</f>
        <v>ok</v>
      </c>
      <c r="F40" s="67" t="str">
        <f aca="false">IF(ABS(F39)&lt;0.5,"ok","ERRO")</f>
        <v>ok</v>
      </c>
      <c r="G40" s="67" t="str">
        <f aca="false">IF(ABS(G39)&lt;0.5,"ok","ERRO")</f>
        <v>ok</v>
      </c>
      <c r="H40" s="67" t="str">
        <f aca="false">IF(ABS(H39)&lt;0.5,"ok","ERRO")</f>
        <v>ok</v>
      </c>
      <c r="I40" s="67" t="str">
        <f aca="false">IF(ABS(I39)&lt;0.5,"ok","ERRO")</f>
        <v>ok</v>
      </c>
      <c r="J40" s="67" t="str">
        <f aca="false">IF(ABS(J39)&lt;0.5,"ok","ERRO")</f>
        <v>ok</v>
      </c>
      <c r="K40" s="67" t="str">
        <f aca="false">IF(ABS(K39)&lt;0.5,"ok","ERRO")</f>
        <v>ok</v>
      </c>
      <c r="L40" s="67" t="str">
        <f aca="false">IF(ABS(L39)&lt;0.5,"ok","ERRO")</f>
        <v>ok</v>
      </c>
      <c r="M40" s="67" t="str">
        <f aca="false">IF(ABS(M39)&lt;0.5,"ok","ERRO")</f>
        <v>ok</v>
      </c>
    </row>
    <row r="41" customFormat="false" ht="15" hidden="false" customHeight="false" outlineLevel="0" collapsed="false">
      <c r="B41" s="5" t="s">
        <v>343</v>
      </c>
      <c r="D41" s="5" t="str">
        <f aca="false">IF(COUNTIF(D40:M40,"ok")=10,"ok","ERRO")</f>
        <v>ok</v>
      </c>
    </row>
    <row r="43" customFormat="false" ht="15" hidden="false" customHeight="false" outlineLevel="0" collapsed="false">
      <c r="B43" s="6" t="s">
        <v>344</v>
      </c>
      <c r="D43" s="29" t="s">
        <v>56</v>
      </c>
      <c r="E43" s="29" t="s">
        <v>56</v>
      </c>
      <c r="F43" s="29" t="s">
        <v>56</v>
      </c>
      <c r="G43" s="29" t="s">
        <v>56</v>
      </c>
      <c r="H43" s="59" t="n">
        <f aca="false">H23/Multiplos!$D$8</f>
        <v>0.0519529870370105</v>
      </c>
      <c r="I43" s="59" t="n">
        <f aca="false">I23/Multiplos!$D$8</f>
        <v>0.118985751420573</v>
      </c>
      <c r="J43" s="59" t="n">
        <f aca="false">J23/Multiplos!$D$8</f>
        <v>0.143206027208611</v>
      </c>
      <c r="K43" s="59" t="n">
        <f aca="false">K23/Multiplos!$D$8</f>
        <v>0.104271769053075</v>
      </c>
      <c r="L43" s="59" t="n">
        <f aca="false">L23/Multiplos!$D$8</f>
        <v>0.0753732875193953</v>
      </c>
      <c r="M43" s="59" t="n">
        <f aca="false">M23/Multiplos!$D$8</f>
        <v>0.0925070063315926</v>
      </c>
    </row>
    <row r="44" customFormat="false" ht="15" hidden="false" customHeight="false" outlineLevel="0" collapsed="false">
      <c r="B44" s="3" t="s">
        <v>345</v>
      </c>
      <c r="D44" s="27" t="n">
        <f aca="false">D23/DRE!D30</f>
        <v>2.85294117647059</v>
      </c>
      <c r="E44" s="27" t="n">
        <f aca="false">E23/DRE!E30</f>
        <v>-4.9871912168344</v>
      </c>
      <c r="F44" s="27" t="n">
        <f aca="false">F23/DRE!F30</f>
        <v>0.346153846153846</v>
      </c>
      <c r="G44" s="27" t="n">
        <f aca="false">G23/DRE!G30</f>
        <v>3.31111111111111</v>
      </c>
      <c r="H44" s="27" t="n">
        <f aca="false">H23/DRE!H30</f>
        <v>54.5100612423447</v>
      </c>
      <c r="I44" s="27" t="n">
        <f aca="false">I23/DRE!I30</f>
        <v>130.866906784128</v>
      </c>
      <c r="J44" s="27" t="n">
        <f aca="false">J23/DRE!J30</f>
        <v>180.428575108913</v>
      </c>
      <c r="K44" s="27" t="n">
        <f aca="false">K23/DRE!K30</f>
        <v>154.805114874572</v>
      </c>
      <c r="L44" s="27" t="n">
        <f aca="false">L23/DRE!L30</f>
        <v>130.045993117803</v>
      </c>
      <c r="M44" s="27" t="n">
        <f aca="false">M23/DRE!M30</f>
        <v>188.934424195739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M79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</cols>
  <sheetData>
    <row r="1" customFormat="false" ht="15" hidden="false" customHeight="false" outlineLevel="0" collapsed="false">
      <c r="B1" s="2" t="s">
        <v>346</v>
      </c>
    </row>
    <row r="2" customFormat="false" ht="15" hidden="false" customHeight="false" outlineLevel="0" collapsed="false">
      <c r="B2" s="3" t="s">
        <v>347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</row>
    <row r="5" customFormat="false" ht="15" hidden="false" customHeight="false" outlineLevel="0" collapsed="false">
      <c r="B5" s="3" t="s">
        <v>348</v>
      </c>
      <c r="D5" s="72" t="n">
        <v>2022</v>
      </c>
      <c r="E5" s="72" t="n">
        <f aca="false">D5+1</f>
        <v>2023</v>
      </c>
      <c r="F5" s="72" t="n">
        <f aca="false">E5+1</f>
        <v>2024</v>
      </c>
      <c r="G5" s="72" t="n">
        <f aca="false">F5+1</f>
        <v>2025</v>
      </c>
      <c r="H5" s="72" t="n">
        <f aca="false">G5+1</f>
        <v>2026</v>
      </c>
      <c r="I5" s="72" t="n">
        <f aca="false">H5+1</f>
        <v>2027</v>
      </c>
      <c r="J5" s="72" t="n">
        <f aca="false">I5+1</f>
        <v>2028</v>
      </c>
      <c r="K5" s="72" t="n">
        <f aca="false">J5+1</f>
        <v>2029</v>
      </c>
      <c r="L5" s="72" t="n">
        <f aca="false">K5+1</f>
        <v>2030</v>
      </c>
      <c r="M5" s="72" t="n">
        <f aca="false">L5+1</f>
        <v>2031</v>
      </c>
    </row>
    <row r="7" customFormat="false" ht="15" hidden="false" customHeight="false" outlineLevel="0" collapsed="false">
      <c r="B7" s="4" t="s">
        <v>349</v>
      </c>
    </row>
    <row r="8" customFormat="false" ht="15" hidden="false" customHeight="false" outlineLevel="0" collapsed="false">
      <c r="B8" s="6" t="s">
        <v>350</v>
      </c>
      <c r="C8" s="3" t="s">
        <v>351</v>
      </c>
      <c r="E8" s="66" t="n">
        <f aca="false">D11</f>
        <v>38549</v>
      </c>
      <c r="F8" s="66" t="n">
        <f aca="false">E11</f>
        <v>37928</v>
      </c>
      <c r="G8" s="66" t="n">
        <f aca="false">F11</f>
        <v>39749</v>
      </c>
      <c r="H8" s="66" t="n">
        <f aca="false">G11</f>
        <v>46590</v>
      </c>
      <c r="I8" s="66" t="n">
        <f aca="false">H11</f>
        <v>63310</v>
      </c>
      <c r="J8" s="66" t="n">
        <f aca="false">I11</f>
        <v>102837.93</v>
      </c>
      <c r="K8" s="66" t="n">
        <f aca="false">J11</f>
        <v>143869.67155</v>
      </c>
      <c r="L8" s="66" t="n">
        <f aca="false">K11</f>
        <v>158850.524102</v>
      </c>
      <c r="M8" s="66" t="n">
        <f aca="false">L11</f>
        <v>161845.93500466</v>
      </c>
    </row>
    <row r="9" customFormat="false" ht="15" hidden="false" customHeight="false" outlineLevel="0" collapsed="false">
      <c r="B9" s="6" t="s">
        <v>352</v>
      </c>
      <c r="D9" s="25" t="n">
        <f aca="false">-FC!D17</f>
        <v>11980</v>
      </c>
      <c r="E9" s="25" t="n">
        <f aca="false">-FC!E17</f>
        <v>7010</v>
      </c>
      <c r="F9" s="25" t="n">
        <f aca="false">-FC!F17</f>
        <v>8120</v>
      </c>
      <c r="G9" s="25" t="n">
        <f aca="false">-FC!G17</f>
        <v>13800</v>
      </c>
      <c r="H9" s="25" t="n">
        <f aca="false">-FC!H17</f>
        <v>27370</v>
      </c>
      <c r="I9" s="25" t="n">
        <f aca="false">Premissas!I71</f>
        <v>52000</v>
      </c>
      <c r="J9" s="25" t="n">
        <f aca="false">Premissas!J71</f>
        <v>58000</v>
      </c>
      <c r="K9" s="25" t="n">
        <f aca="false">Premissas!K71</f>
        <v>38000</v>
      </c>
      <c r="L9" s="25" t="n">
        <f aca="false">Premissas!L71</f>
        <v>30000</v>
      </c>
      <c r="M9" s="25" t="n">
        <f aca="false">Premissas!M71</f>
        <v>36000</v>
      </c>
    </row>
    <row r="10" customFormat="false" ht="15" hidden="false" customHeight="false" outlineLevel="0" collapsed="false">
      <c r="B10" s="6" t="s">
        <v>353</v>
      </c>
      <c r="D10" s="25" t="n">
        <f aca="false">-DRE!D15</f>
        <v>-7116</v>
      </c>
      <c r="E10" s="25" t="n">
        <f aca="false">-DRE!E15</f>
        <v>-7756</v>
      </c>
      <c r="F10" s="25" t="n">
        <f aca="false">-DRE!F15</f>
        <v>-7780</v>
      </c>
      <c r="G10" s="25" t="n">
        <f aca="false">-DRE!G15</f>
        <v>-8352</v>
      </c>
      <c r="H10" s="25" t="n">
        <f aca="false">-DRE!H15</f>
        <v>-9503</v>
      </c>
      <c r="I10" s="66" t="n">
        <f aca="false">-I8*Premissas!I77</f>
        <v>-12472.07</v>
      </c>
      <c r="J10" s="66" t="n">
        <f aca="false">-J8*Premissas!J77</f>
        <v>-16968.25845</v>
      </c>
      <c r="K10" s="66" t="n">
        <f aca="false">-K8*Premissas!K77</f>
        <v>-23019.147448</v>
      </c>
      <c r="L10" s="66" t="n">
        <f aca="false">-L8*Premissas!L77</f>
        <v>-27004.58909734</v>
      </c>
      <c r="M10" s="66" t="n">
        <f aca="false">-M8*Premissas!M77</f>
        <v>-29132.2683008388</v>
      </c>
    </row>
    <row r="11" customFormat="false" ht="15" hidden="false" customHeight="false" outlineLevel="0" collapsed="false">
      <c r="B11" s="5" t="s">
        <v>354</v>
      </c>
      <c r="D11" s="23" t="n">
        <f aca="false">BP!D13</f>
        <v>38549</v>
      </c>
      <c r="E11" s="23" t="n">
        <f aca="false">BP!E13</f>
        <v>37928</v>
      </c>
      <c r="F11" s="23" t="n">
        <f aca="false">BP!F13</f>
        <v>39749</v>
      </c>
      <c r="G11" s="23" t="n">
        <f aca="false">BP!G13</f>
        <v>46590</v>
      </c>
      <c r="H11" s="23" t="n">
        <f aca="false">BP!H13</f>
        <v>63310</v>
      </c>
      <c r="I11" s="67" t="n">
        <f aca="false">I8+I9+I10</f>
        <v>102837.93</v>
      </c>
      <c r="J11" s="67" t="n">
        <f aca="false">J8+J9+J10</f>
        <v>143869.67155</v>
      </c>
      <c r="K11" s="67" t="n">
        <f aca="false">K8+K9+K10</f>
        <v>158850.524102</v>
      </c>
      <c r="L11" s="67" t="n">
        <f aca="false">L8+L9+L10</f>
        <v>161845.93500466</v>
      </c>
      <c r="M11" s="67" t="n">
        <f aca="false">M8+M9+M10</f>
        <v>168713.666703821</v>
      </c>
    </row>
    <row r="12" customFormat="false" ht="15" hidden="false" customHeight="false" outlineLevel="0" collapsed="false">
      <c r="B12" s="3" t="s">
        <v>355</v>
      </c>
      <c r="E12" s="14" t="n">
        <f aca="false">-E10/E8</f>
        <v>0.201198474668604</v>
      </c>
      <c r="F12" s="14" t="n">
        <f aca="false">-F10/F8</f>
        <v>0.205125500949167</v>
      </c>
      <c r="G12" s="14" t="n">
        <f aca="false">-G10/G8</f>
        <v>0.210118493547007</v>
      </c>
      <c r="H12" s="14" t="n">
        <f aca="false">-H10/H8</f>
        <v>0.203970809186521</v>
      </c>
      <c r="I12" s="14" t="n">
        <f aca="false">-I10/I8</f>
        <v>0.197</v>
      </c>
      <c r="J12" s="14" t="n">
        <f aca="false">-J10/J8</f>
        <v>0.165</v>
      </c>
      <c r="K12" s="14" t="n">
        <f aca="false">-K10/K8</f>
        <v>0.16</v>
      </c>
      <c r="L12" s="14" t="n">
        <f aca="false">-L10/L8</f>
        <v>0.17</v>
      </c>
      <c r="M12" s="14" t="n">
        <f aca="false">-M10/M8</f>
        <v>0.18</v>
      </c>
    </row>
    <row r="13" customFormat="false" ht="15" hidden="false" customHeight="false" outlineLevel="0" collapsed="false">
      <c r="B13" s="3" t="s">
        <v>356</v>
      </c>
      <c r="D13" s="14" t="n">
        <f aca="false">D9/DRE!D5</f>
        <v>0.389492164640094</v>
      </c>
      <c r="E13" s="14" t="n">
        <f aca="false">E9/DRE!E5</f>
        <v>0.451093951093951</v>
      </c>
      <c r="F13" s="14" t="n">
        <f aca="false">F9/DRE!F5</f>
        <v>0.323364262673729</v>
      </c>
      <c r="G13" s="14" t="n">
        <f aca="false">G9/DRE!G5</f>
        <v>0.369201134357108</v>
      </c>
      <c r="H13" s="14" t="n">
        <f aca="false">H9/DRE!H5</f>
        <v>0.205498993903355</v>
      </c>
      <c r="I13" s="14" t="n">
        <f aca="false">I9/DRE!I5</f>
        <v>0.190592560289489</v>
      </c>
      <c r="J13" s="14" t="n">
        <f aca="false">J9/DRE!J5</f>
        <v>0.192994546171869</v>
      </c>
      <c r="K13" s="14" t="n">
        <f aca="false">K9/DRE!K5</f>
        <v>0.178049389522632</v>
      </c>
      <c r="L13" s="14" t="n">
        <f aca="false">L9/DRE!L5</f>
        <v>0.179954729961341</v>
      </c>
      <c r="M13" s="14" t="n">
        <f aca="false">M9/DRE!M5</f>
        <v>0.174009061234189</v>
      </c>
    </row>
    <row r="14" customFormat="false" ht="15" hidden="false" customHeight="false" outlineLevel="0" collapsed="false">
      <c r="B14" s="3" t="s">
        <v>357</v>
      </c>
      <c r="D14" s="73" t="n">
        <f aca="false">-D9/D10</f>
        <v>1.68353007307476</v>
      </c>
      <c r="E14" s="73" t="n">
        <f aca="false">-E9/E10</f>
        <v>0.903816400206292</v>
      </c>
      <c r="F14" s="73" t="n">
        <f aca="false">-F9/F10</f>
        <v>1.04370179948586</v>
      </c>
      <c r="G14" s="73" t="n">
        <f aca="false">-G9/G10</f>
        <v>1.65229885057471</v>
      </c>
      <c r="H14" s="73" t="n">
        <f aca="false">-H9/H10</f>
        <v>2.88014311270125</v>
      </c>
      <c r="I14" s="73" t="n">
        <f aca="false">-I9/I10</f>
        <v>4.16931591949051</v>
      </c>
      <c r="J14" s="73" t="n">
        <f aca="false">-J9/J10</f>
        <v>3.41814689886457</v>
      </c>
      <c r="K14" s="73" t="n">
        <f aca="false">-K9/K10</f>
        <v>1.650799626087</v>
      </c>
      <c r="L14" s="73" t="n">
        <f aca="false">-L9/L10</f>
        <v>1.11092229146175</v>
      </c>
      <c r="M14" s="73" t="n">
        <f aca="false">-M9/M10</f>
        <v>1.23574311578627</v>
      </c>
    </row>
    <row r="16" customFormat="false" ht="15" hidden="false" customHeight="false" outlineLevel="0" collapsed="false">
      <c r="B16" s="4" t="s">
        <v>358</v>
      </c>
    </row>
    <row r="17" customFormat="false" ht="15" hidden="false" customHeight="false" outlineLevel="0" collapsed="false">
      <c r="B17" s="6" t="s">
        <v>359</v>
      </c>
      <c r="C17" s="3" t="s">
        <v>360</v>
      </c>
      <c r="D17" s="74" t="n">
        <f aca="false">D20/DRE!D5*365</f>
        <v>60.8768450484427</v>
      </c>
      <c r="E17" s="74" t="n">
        <f aca="false">E20/DRE!E5*365</f>
        <v>57.3806306306306</v>
      </c>
      <c r="F17" s="74" t="n">
        <f aca="false">F20/DRE!F5*365</f>
        <v>96.1520847437378</v>
      </c>
      <c r="G17" s="74" t="n">
        <f aca="false">G20/DRE!G5*365</f>
        <v>90.473674353898</v>
      </c>
      <c r="H17" s="74" t="n">
        <f aca="false">H20/DRE!H5*365</f>
        <v>99.197412679821</v>
      </c>
      <c r="I17" s="75" t="n">
        <f aca="false">Premissas!I89</f>
        <v>71</v>
      </c>
      <c r="J17" s="75" t="n">
        <f aca="false">Premissas!J89</f>
        <v>64</v>
      </c>
      <c r="K17" s="75" t="n">
        <f aca="false">Premissas!K89</f>
        <v>56</v>
      </c>
      <c r="L17" s="75" t="n">
        <f aca="false">Premissas!L89</f>
        <v>55</v>
      </c>
      <c r="M17" s="75" t="n">
        <f aca="false">Premissas!M89</f>
        <v>60</v>
      </c>
    </row>
    <row r="18" customFormat="false" ht="15" hidden="false" customHeight="false" outlineLevel="0" collapsed="false">
      <c r="B18" s="6" t="s">
        <v>361</v>
      </c>
      <c r="D18" s="74" t="n">
        <f aca="false">D21/(-DRE!D7)*365</f>
        <v>144.246441281139</v>
      </c>
      <c r="E18" s="74" t="n">
        <f aca="false">E21/(-DRE!E7)*365</f>
        <v>180.541106393017</v>
      </c>
      <c r="F18" s="74" t="n">
        <f aca="false">F21/(-DRE!F7)*365</f>
        <v>166.138834752282</v>
      </c>
      <c r="G18" s="74" t="n">
        <f aca="false">G21/(-DRE!G7)*365</f>
        <v>135.506554099089</v>
      </c>
      <c r="H18" s="74" t="n">
        <f aca="false">H21/(-DRE!H7)*365</f>
        <v>147.398380314593</v>
      </c>
      <c r="I18" s="75" t="n">
        <f aca="false">Premissas!I95</f>
        <v>131</v>
      </c>
      <c r="J18" s="75" t="n">
        <f aca="false">Premissas!J95</f>
        <v>128</v>
      </c>
      <c r="K18" s="75" t="n">
        <f aca="false">Premissas!K95</f>
        <v>158</v>
      </c>
      <c r="L18" s="75" t="n">
        <f aca="false">Premissas!L95</f>
        <v>165</v>
      </c>
      <c r="M18" s="75" t="n">
        <f aca="false">Premissas!M95</f>
        <v>142</v>
      </c>
    </row>
    <row r="19" customFormat="false" ht="15" hidden="false" customHeight="false" outlineLevel="0" collapsed="false">
      <c r="B19" s="6" t="s">
        <v>362</v>
      </c>
      <c r="D19" s="74" t="n">
        <f aca="false">D22/(-DRE!D7)*365</f>
        <v>131.841637010676</v>
      </c>
      <c r="E19" s="74" t="n">
        <f aca="false">E22/(-DRE!E7)*365</f>
        <v>85.2011087520642</v>
      </c>
      <c r="F19" s="74" t="n">
        <f aca="false">F22/(-DRE!F7)*365</f>
        <v>136.636321674018</v>
      </c>
      <c r="G19" s="74" t="n">
        <f aca="false">G22/(-DRE!G7)*365</f>
        <v>156.493445900911</v>
      </c>
      <c r="H19" s="74" t="n">
        <f aca="false">H22/(-DRE!H7)*365</f>
        <v>321.243770440741</v>
      </c>
      <c r="I19" s="75" t="n">
        <f aca="false">Premissas!I101</f>
        <v>284</v>
      </c>
      <c r="J19" s="75" t="n">
        <f aca="false">Premissas!J101</f>
        <v>250</v>
      </c>
      <c r="K19" s="75" t="n">
        <f aca="false">Premissas!K101</f>
        <v>158</v>
      </c>
      <c r="L19" s="75" t="n">
        <f aca="false">Premissas!L101</f>
        <v>138</v>
      </c>
      <c r="M19" s="75" t="n">
        <f aca="false">Premissas!M101</f>
        <v>150</v>
      </c>
    </row>
    <row r="20" customFormat="false" ht="15" hidden="false" customHeight="false" outlineLevel="0" collapsed="false">
      <c r="B20" s="6" t="s">
        <v>281</v>
      </c>
      <c r="D20" s="25" t="n">
        <f aca="false">BP!D9</f>
        <v>5130</v>
      </c>
      <c r="E20" s="25" t="n">
        <f aca="false">BP!E9</f>
        <v>2443</v>
      </c>
      <c r="F20" s="25" t="n">
        <f aca="false">BP!F9</f>
        <v>6615</v>
      </c>
      <c r="G20" s="25" t="n">
        <f aca="false">BP!G9</f>
        <v>9265</v>
      </c>
      <c r="H20" s="25" t="n">
        <f aca="false">BP!H9</f>
        <v>36197</v>
      </c>
      <c r="I20" s="66" t="n">
        <f aca="false">DRE!I5*I17/365</f>
        <v>53071.6858926027</v>
      </c>
      <c r="J20" s="66" t="n">
        <f aca="false">DRE!J5*J17/365</f>
        <v>52695.0798114367</v>
      </c>
      <c r="K20" s="66" t="n">
        <f aca="false">DRE!K5*K17/365</f>
        <v>32744.4929855281</v>
      </c>
      <c r="L20" s="66" t="n">
        <f aca="false">DRE!L5*L17/365</f>
        <v>25120.4730555102</v>
      </c>
      <c r="M20" s="66" t="n">
        <f aca="false">DRE!M5*M17/365</f>
        <v>34008.6210293016</v>
      </c>
    </row>
    <row r="21" customFormat="false" ht="15" hidden="false" customHeight="false" outlineLevel="0" collapsed="false">
      <c r="B21" s="6" t="s">
        <v>282</v>
      </c>
      <c r="D21" s="25" t="n">
        <f aca="false">BP!D10</f>
        <v>6663</v>
      </c>
      <c r="E21" s="25" t="n">
        <f aca="false">BP!E10</f>
        <v>8387</v>
      </c>
      <c r="F21" s="25" t="n">
        <f aca="false">BP!F10</f>
        <v>8875</v>
      </c>
      <c r="G21" s="25" t="n">
        <f aca="false">BP!G10</f>
        <v>8355</v>
      </c>
      <c r="H21" s="25" t="n">
        <f aca="false">BP!H10</f>
        <v>10372</v>
      </c>
      <c r="I21" s="66" t="n">
        <f aca="false">-DRE!I7*I18/365</f>
        <v>12919.752870674</v>
      </c>
      <c r="J21" s="66" t="n">
        <f aca="false">-DRE!J7*J18/365</f>
        <v>14577.2319984838</v>
      </c>
      <c r="K21" s="66" t="n">
        <f aca="false">-DRE!K7*K18/365</f>
        <v>21281.5482828728</v>
      </c>
      <c r="L21" s="66" t="n">
        <f aca="false">-DRE!L7*L18/365</f>
        <v>23884.7245621398</v>
      </c>
      <c r="M21" s="66" t="n">
        <f aca="false">-DRE!M7*M18/365</f>
        <v>21841.8731061152</v>
      </c>
    </row>
    <row r="22" customFormat="false" ht="15" hidden="false" customHeight="false" outlineLevel="0" collapsed="false">
      <c r="B22" s="6" t="s">
        <v>289</v>
      </c>
      <c r="D22" s="25" t="n">
        <f aca="false">BP!D18</f>
        <v>6090</v>
      </c>
      <c r="E22" s="25" t="n">
        <f aca="false">BP!E18</f>
        <v>3958</v>
      </c>
      <c r="F22" s="25" t="n">
        <f aca="false">BP!F18</f>
        <v>7299</v>
      </c>
      <c r="G22" s="25" t="n">
        <f aca="false">BP!G18</f>
        <v>9649</v>
      </c>
      <c r="H22" s="25" t="n">
        <f aca="false">BP!H18</f>
        <v>22605</v>
      </c>
      <c r="I22" s="66" t="n">
        <f aca="false">-DRE!I7*I19/365</f>
        <v>28009.2352310795</v>
      </c>
      <c r="J22" s="66" t="n">
        <f aca="false">-DRE!J7*J19/365</f>
        <v>28471.1562470387</v>
      </c>
      <c r="K22" s="66" t="n">
        <f aca="false">-DRE!K7*K19/365</f>
        <v>21281.5482828728</v>
      </c>
      <c r="L22" s="66" t="n">
        <f aca="false">-DRE!L7*L19/365</f>
        <v>19976.3150883351</v>
      </c>
      <c r="M22" s="66" t="n">
        <f aca="false">-DRE!M7*M19/365</f>
        <v>23072.4011684316</v>
      </c>
    </row>
    <row r="23" customFormat="false" ht="15" hidden="false" customHeight="false" outlineLevel="0" collapsed="false">
      <c r="B23" s="5" t="s">
        <v>363</v>
      </c>
      <c r="D23" s="67" t="n">
        <f aca="false">D20+D21-D22</f>
        <v>5703</v>
      </c>
      <c r="E23" s="67" t="n">
        <f aca="false">E20+E21-E22</f>
        <v>6872</v>
      </c>
      <c r="F23" s="67" t="n">
        <f aca="false">F20+F21-F22</f>
        <v>8191</v>
      </c>
      <c r="G23" s="67" t="n">
        <f aca="false">G20+G21-G22</f>
        <v>7971</v>
      </c>
      <c r="H23" s="67" t="n">
        <f aca="false">H20+H21-H22</f>
        <v>23964</v>
      </c>
      <c r="I23" s="67" t="n">
        <f aca="false">I20+I21-I22</f>
        <v>37982.2035321973</v>
      </c>
      <c r="J23" s="67" t="n">
        <f aca="false">J20+J21-J22</f>
        <v>38801.1555628818</v>
      </c>
      <c r="K23" s="67" t="n">
        <f aca="false">K20+K21-K22</f>
        <v>32744.4929855281</v>
      </c>
      <c r="L23" s="67" t="n">
        <f aca="false">L20+L21-L22</f>
        <v>29028.8825293148</v>
      </c>
      <c r="M23" s="67" t="n">
        <f aca="false">M20+M21-M22</f>
        <v>32778.0929669853</v>
      </c>
    </row>
    <row r="24" customFormat="false" ht="15" hidden="false" customHeight="false" outlineLevel="0" collapsed="false">
      <c r="B24" s="6" t="s">
        <v>364</v>
      </c>
      <c r="E24" s="66" t="n">
        <f aca="false">E23-D23</f>
        <v>1169</v>
      </c>
      <c r="F24" s="66" t="n">
        <f aca="false">F23-E23</f>
        <v>1319</v>
      </c>
      <c r="G24" s="66" t="n">
        <f aca="false">G23-F23</f>
        <v>-220</v>
      </c>
      <c r="H24" s="66" t="n">
        <f aca="false">H23-G23</f>
        <v>15993</v>
      </c>
      <c r="I24" s="66" t="n">
        <f aca="false">I23-H23</f>
        <v>14018.2035321973</v>
      </c>
      <c r="J24" s="66" t="n">
        <f aca="false">J23-I23</f>
        <v>818.952030684581</v>
      </c>
      <c r="K24" s="66" t="n">
        <f aca="false">K23-J23</f>
        <v>-6056.66257735373</v>
      </c>
      <c r="L24" s="66" t="n">
        <f aca="false">L23-K23</f>
        <v>-3715.61045621327</v>
      </c>
      <c r="M24" s="66" t="n">
        <f aca="false">M23-L23</f>
        <v>3749.21043767042</v>
      </c>
    </row>
    <row r="26" customFormat="false" ht="15" hidden="false" customHeight="false" outlineLevel="0" collapsed="false">
      <c r="B26" s="4" t="s">
        <v>365</v>
      </c>
    </row>
    <row r="27" customFormat="false" ht="15" hidden="false" customHeight="false" outlineLevel="0" collapsed="false">
      <c r="B27" s="6" t="s">
        <v>366</v>
      </c>
      <c r="I27" s="66" t="n">
        <f aca="false">H31</f>
        <v>5179</v>
      </c>
      <c r="J27" s="66" t="n">
        <f aca="false">I31</f>
        <v>4679</v>
      </c>
      <c r="K27" s="66" t="n">
        <f aca="false">J31</f>
        <v>4179</v>
      </c>
      <c r="L27" s="66" t="n">
        <f aca="false">K31</f>
        <v>3679</v>
      </c>
      <c r="M27" s="66" t="n">
        <f aca="false">L31</f>
        <v>3179</v>
      </c>
    </row>
    <row r="28" customFormat="false" ht="15" hidden="false" customHeight="false" outlineLevel="0" collapsed="false">
      <c r="B28" s="6" t="s">
        <v>367</v>
      </c>
      <c r="C28" s="3" t="s">
        <v>368</v>
      </c>
      <c r="I28" s="66" t="n">
        <f aca="false">-SUMPRODUCT(($D$65:$D$73=I$5)*$F$65:$F$73)</f>
        <v>-0</v>
      </c>
      <c r="J28" s="66" t="n">
        <f aca="false">-SUMPRODUCT(($D$65:$D$73=J$5)*$F$65:$F$73)</f>
        <v>-0</v>
      </c>
      <c r="K28" s="66" t="n">
        <f aca="false">-SUMPRODUCT(($D$65:$D$73=K$5)*$F$65:$F$73)</f>
        <v>-0</v>
      </c>
      <c r="L28" s="66" t="n">
        <f aca="false">-SUMPRODUCT(($D$65:$D$73=L$5)*$F$65:$F$73)</f>
        <v>-0</v>
      </c>
      <c r="M28" s="66" t="n">
        <f aca="false">-SUMPRODUCT(($D$65:$D$73=M$5)*$F$65:$F$73)</f>
        <v>-236.231911918909</v>
      </c>
    </row>
    <row r="29" customFormat="false" ht="15" hidden="false" customHeight="false" outlineLevel="0" collapsed="false">
      <c r="B29" s="6" t="s">
        <v>369</v>
      </c>
      <c r="I29" s="66" t="n">
        <f aca="false">-MIN(H32,Premissas!$I$217)</f>
        <v>-500</v>
      </c>
      <c r="J29" s="66" t="n">
        <f aca="false">-MIN(I32,Premissas!$I$217)</f>
        <v>-500</v>
      </c>
      <c r="K29" s="66" t="n">
        <f aca="false">-MIN(J32,Premissas!$I$217)</f>
        <v>-500</v>
      </c>
      <c r="L29" s="66" t="n">
        <f aca="false">-MIN(K32,Premissas!$I$217)</f>
        <v>-500</v>
      </c>
      <c r="M29" s="66" t="n">
        <f aca="false">-MIN(L32,Premissas!$I$217)</f>
        <v>-416.62530583712</v>
      </c>
    </row>
    <row r="30" customFormat="false" ht="15" hidden="false" customHeight="false" outlineLevel="0" collapsed="false">
      <c r="B30" s="5" t="s">
        <v>370</v>
      </c>
      <c r="I30" s="67" t="n">
        <f aca="false">I28+I29</f>
        <v>-500</v>
      </c>
      <c r="J30" s="67" t="n">
        <f aca="false">J28+J29</f>
        <v>-500</v>
      </c>
      <c r="K30" s="67" t="n">
        <f aca="false">K28+K29</f>
        <v>-500</v>
      </c>
      <c r="L30" s="67" t="n">
        <f aca="false">L28+L29</f>
        <v>-500</v>
      </c>
      <c r="M30" s="67" t="n">
        <f aca="false">M28+M29</f>
        <v>-652.857217756029</v>
      </c>
    </row>
    <row r="31" customFormat="false" ht="15" hidden="false" customHeight="false" outlineLevel="0" collapsed="false">
      <c r="B31" s="5" t="s">
        <v>371</v>
      </c>
      <c r="H31" s="23" t="n">
        <f aca="false">BP!H19+BP!H22</f>
        <v>5179</v>
      </c>
      <c r="I31" s="67" t="n">
        <f aca="false">I27+I30</f>
        <v>4679</v>
      </c>
      <c r="J31" s="67" t="n">
        <f aca="false">J27+J30</f>
        <v>4179</v>
      </c>
      <c r="K31" s="67" t="n">
        <f aca="false">K27+K30</f>
        <v>3679</v>
      </c>
      <c r="L31" s="67" t="n">
        <f aca="false">L27+L30</f>
        <v>3179</v>
      </c>
      <c r="M31" s="67" t="n">
        <f aca="false">M27+M30</f>
        <v>2526.14278224397</v>
      </c>
    </row>
    <row r="32" customFormat="false" ht="15" hidden="false" customHeight="false" outlineLevel="0" collapsed="false">
      <c r="B32" s="3" t="s">
        <v>372</v>
      </c>
      <c r="H32" s="28" t="n">
        <f aca="false">F74</f>
        <v>2416.62530583712</v>
      </c>
      <c r="I32" s="28" t="n">
        <f aca="false">H32+I29</f>
        <v>1916.62530583712</v>
      </c>
      <c r="J32" s="28" t="n">
        <f aca="false">I32+J29</f>
        <v>1416.62530583712</v>
      </c>
      <c r="K32" s="28" t="n">
        <f aca="false">J32+K29</f>
        <v>916.62530583712</v>
      </c>
      <c r="L32" s="28" t="n">
        <f aca="false">K32+L29</f>
        <v>416.62530583712</v>
      </c>
      <c r="M32" s="28" t="n">
        <f aca="false">L32+M29</f>
        <v>0</v>
      </c>
    </row>
    <row r="33" customFormat="false" ht="15" hidden="false" customHeight="false" outlineLevel="0" collapsed="false">
      <c r="B33" s="6" t="s">
        <v>373</v>
      </c>
      <c r="I33" s="66" t="n">
        <f aca="false">SUMPRODUCT(($D$65:$D$73=I$5+1)*$F$65:$F$73)+MIN(I32,Premissas!$I$217)</f>
        <v>500</v>
      </c>
      <c r="J33" s="66" t="n">
        <f aca="false">SUMPRODUCT(($D$65:$D$73=J$5+1)*$F$65:$F$73)+MIN(J32,Premissas!$I$217)</f>
        <v>500</v>
      </c>
      <c r="K33" s="66" t="n">
        <f aca="false">SUMPRODUCT(($D$65:$D$73=K$5+1)*$F$65:$F$73)+MIN(K32,Premissas!$I$217)</f>
        <v>500</v>
      </c>
      <c r="L33" s="66" t="n">
        <f aca="false">SUMPRODUCT(($D$65:$D$73=L$5+1)*$F$65:$F$73)+MIN(L32,Premissas!$I$217)</f>
        <v>652.857217756029</v>
      </c>
      <c r="M33" s="66" t="n">
        <f aca="false">SUMPRODUCT(($D$65:$D$73=M$5+1)*$F$65:$F$73)+MIN(M32,Premissas!$I$217)</f>
        <v>964.839916113247</v>
      </c>
    </row>
    <row r="34" customFormat="false" ht="15" hidden="false" customHeight="false" outlineLevel="0" collapsed="false">
      <c r="B34" s="6" t="s">
        <v>374</v>
      </c>
      <c r="I34" s="66" t="n">
        <f aca="false">I31-I33</f>
        <v>4179</v>
      </c>
      <c r="J34" s="66" t="n">
        <f aca="false">J31-J33</f>
        <v>3679</v>
      </c>
      <c r="K34" s="66" t="n">
        <f aca="false">K31-K33</f>
        <v>3179</v>
      </c>
      <c r="L34" s="66" t="n">
        <f aca="false">L31-L33</f>
        <v>2526.14278224397</v>
      </c>
      <c r="M34" s="66" t="n">
        <f aca="false">M31-M33</f>
        <v>1561.30286613072</v>
      </c>
    </row>
    <row r="35" customFormat="false" ht="15" hidden="false" customHeight="false" outlineLevel="0" collapsed="false">
      <c r="B35" s="3" t="s">
        <v>375</v>
      </c>
      <c r="I35" s="45" t="n">
        <f aca="false">Premissas!I131</f>
        <v>0.045</v>
      </c>
      <c r="J35" s="45" t="n">
        <f aca="false">Premissas!J131</f>
        <v>0.045</v>
      </c>
      <c r="K35" s="45" t="n">
        <f aca="false">Premissas!K131</f>
        <v>0.045</v>
      </c>
      <c r="L35" s="45" t="n">
        <f aca="false">Premissas!L131</f>
        <v>0.045</v>
      </c>
      <c r="M35" s="45" t="n">
        <f aca="false">Premissas!M131</f>
        <v>0.045</v>
      </c>
    </row>
    <row r="36" customFormat="false" ht="15" hidden="false" customHeight="false" outlineLevel="0" collapsed="false">
      <c r="B36" s="6" t="s">
        <v>376</v>
      </c>
      <c r="I36" s="66" t="n">
        <f aca="false">-(I27+I31)/2*I35</f>
        <v>-221.805</v>
      </c>
      <c r="J36" s="66" t="n">
        <f aca="false">-(J27+J31)/2*J35</f>
        <v>-199.305</v>
      </c>
      <c r="K36" s="66" t="n">
        <f aca="false">-(K27+K31)/2*K35</f>
        <v>-176.805</v>
      </c>
      <c r="L36" s="66" t="n">
        <f aca="false">-(L27+L31)/2*L35</f>
        <v>-154.305</v>
      </c>
      <c r="M36" s="66" t="n">
        <f aca="false">-(M27+M31)/2*M35</f>
        <v>-128.365712600489</v>
      </c>
    </row>
    <row r="37" customFormat="false" ht="15" hidden="false" customHeight="false" outlineLevel="0" collapsed="false">
      <c r="B37" s="6" t="s">
        <v>377</v>
      </c>
      <c r="I37" s="25" t="n">
        <f aca="false">BP!H5</f>
        <v>73453</v>
      </c>
      <c r="J37" s="25" t="n">
        <f aca="false">BP!I5</f>
        <v>80000</v>
      </c>
      <c r="K37" s="25" t="n">
        <f aca="false">BP!J5</f>
        <v>50000</v>
      </c>
      <c r="L37" s="25" t="n">
        <f aca="false">BP!K5</f>
        <v>45000</v>
      </c>
      <c r="M37" s="25" t="n">
        <f aca="false">BP!L5</f>
        <v>45000</v>
      </c>
    </row>
    <row r="38" customFormat="false" ht="15" hidden="false" customHeight="false" outlineLevel="0" collapsed="false">
      <c r="B38" s="3" t="s">
        <v>378</v>
      </c>
      <c r="I38" s="45" t="n">
        <f aca="false">Premissas!I125</f>
        <v>0.043</v>
      </c>
      <c r="J38" s="45" t="n">
        <f aca="false">Premissas!J125</f>
        <v>0.041</v>
      </c>
      <c r="K38" s="45" t="n">
        <f aca="false">Premissas!K125</f>
        <v>0.038</v>
      </c>
      <c r="L38" s="45" t="n">
        <f aca="false">Premissas!L125</f>
        <v>0.036</v>
      </c>
      <c r="M38" s="45" t="n">
        <f aca="false">Premissas!M125</f>
        <v>0.036</v>
      </c>
    </row>
    <row r="39" customFormat="false" ht="15" hidden="false" customHeight="false" outlineLevel="0" collapsed="false">
      <c r="B39" s="6" t="s">
        <v>379</v>
      </c>
      <c r="C39" s="3" t="s">
        <v>380</v>
      </c>
      <c r="I39" s="66" t="n">
        <f aca="false">I37*I38</f>
        <v>3158.479</v>
      </c>
      <c r="J39" s="66" t="n">
        <f aca="false">J37*J38</f>
        <v>3280</v>
      </c>
      <c r="K39" s="66" t="n">
        <f aca="false">K37*K38</f>
        <v>1900</v>
      </c>
      <c r="L39" s="66" t="n">
        <f aca="false">L37*L38</f>
        <v>1620</v>
      </c>
      <c r="M39" s="66" t="n">
        <f aca="false">M37*M38</f>
        <v>1620</v>
      </c>
    </row>
    <row r="41" customFormat="false" ht="15" hidden="false" customHeight="false" outlineLevel="0" collapsed="false">
      <c r="B41" s="4" t="s">
        <v>381</v>
      </c>
    </row>
    <row r="42" customFormat="false" ht="15" hidden="false" customHeight="false" outlineLevel="0" collapsed="false">
      <c r="B42" s="6" t="s">
        <v>382</v>
      </c>
      <c r="I42" s="25" t="n">
        <f aca="false">BP!H5</f>
        <v>73453</v>
      </c>
      <c r="J42" s="25" t="n">
        <f aca="false">BP!I5</f>
        <v>80000</v>
      </c>
      <c r="K42" s="25" t="n">
        <f aca="false">BP!J5</f>
        <v>50000</v>
      </c>
      <c r="L42" s="25" t="n">
        <f aca="false">BP!K5</f>
        <v>45000</v>
      </c>
      <c r="M42" s="25" t="n">
        <f aca="false">BP!L5</f>
        <v>45000</v>
      </c>
    </row>
    <row r="43" customFormat="false" ht="15" hidden="false" customHeight="false" outlineLevel="0" collapsed="false">
      <c r="B43" s="6" t="s">
        <v>383</v>
      </c>
      <c r="D43" s="25" t="n">
        <f aca="false">FC!D23</f>
        <v>3201</v>
      </c>
      <c r="E43" s="25" t="n">
        <f aca="false">FC!E23</f>
        <v>-5451</v>
      </c>
      <c r="F43" s="25" t="n">
        <f aca="false">FC!F23</f>
        <v>387</v>
      </c>
      <c r="G43" s="25" t="n">
        <f aca="false">FC!G23</f>
        <v>3725</v>
      </c>
      <c r="H43" s="25" t="n">
        <f aca="false">FC!H23</f>
        <v>62305</v>
      </c>
      <c r="I43" s="25" t="n">
        <f aca="false">FC!I23</f>
        <v>142694.533366823</v>
      </c>
      <c r="J43" s="25" t="n">
        <f aca="false">FC!J23</f>
        <v>171740.876398046</v>
      </c>
      <c r="K43" s="25" t="n">
        <f aca="false">FC!K23</f>
        <v>125048.682306249</v>
      </c>
      <c r="L43" s="25" t="n">
        <f aca="false">FC!L23</f>
        <v>90391.9667900994</v>
      </c>
      <c r="M43" s="25" t="n">
        <f aca="false">FC!M23</f>
        <v>110939.704494449</v>
      </c>
    </row>
    <row r="44" customFormat="false" ht="15" hidden="false" customHeight="false" outlineLevel="0" collapsed="false">
      <c r="B44" s="6" t="s">
        <v>327</v>
      </c>
      <c r="I44" s="66" t="n">
        <f aca="false">-I56</f>
        <v>-802.4412</v>
      </c>
      <c r="J44" s="66" t="n">
        <f aca="false">-J56</f>
        <v>-932.950143342652</v>
      </c>
      <c r="K44" s="66" t="n">
        <f aca="false">-K56</f>
        <v>-926.427462450783</v>
      </c>
      <c r="L44" s="66" t="n">
        <f aca="false">-L56</f>
        <v>-841.677630453269</v>
      </c>
      <c r="M44" s="66" t="n">
        <f aca="false">-M56</f>
        <v>-763.943789003787</v>
      </c>
    </row>
    <row r="45" customFormat="false" ht="15" hidden="false" customHeight="false" outlineLevel="0" collapsed="false">
      <c r="B45" s="6" t="s">
        <v>384</v>
      </c>
      <c r="I45" s="66" t="n">
        <f aca="false">FC!I29+FC!I30+FC!I18+FC!I19+FC!I31+FC!I34</f>
        <v>-3079</v>
      </c>
      <c r="J45" s="66" t="n">
        <f aca="false">FC!J29+FC!J30+FC!J18+FC!J19+FC!J31+FC!J34</f>
        <v>-4368.5</v>
      </c>
      <c r="K45" s="66" t="n">
        <f aca="false">FC!K29+FC!K30+FC!K18+FC!K19+FC!K31+FC!K34</f>
        <v>-4368.5</v>
      </c>
      <c r="L45" s="66" t="n">
        <f aca="false">FC!L29+FC!L30+FC!L18+FC!L19+FC!L31+FC!L34</f>
        <v>-3079</v>
      </c>
      <c r="M45" s="66" t="n">
        <f aca="false">FC!M29+FC!M30+FC!M18+FC!M19+FC!M31+FC!M34</f>
        <v>-652.857217756029</v>
      </c>
    </row>
    <row r="46" customFormat="false" ht="15" hidden="false" customHeight="false" outlineLevel="0" collapsed="false">
      <c r="B46" s="6" t="s">
        <v>385</v>
      </c>
      <c r="I46" s="25" t="n">
        <f aca="false">-Premissas!I107</f>
        <v>-80000</v>
      </c>
      <c r="J46" s="25" t="n">
        <f aca="false">-Premissas!J107</f>
        <v>-50000</v>
      </c>
      <c r="K46" s="25" t="n">
        <f aca="false">-Premissas!K107</f>
        <v>-45000</v>
      </c>
      <c r="L46" s="25" t="n">
        <f aca="false">-Premissas!L107</f>
        <v>-45000</v>
      </c>
      <c r="M46" s="25" t="n">
        <f aca="false">-Premissas!M107</f>
        <v>-45000</v>
      </c>
    </row>
    <row r="47" customFormat="false" ht="15" hidden="false" customHeight="false" outlineLevel="0" collapsed="false">
      <c r="B47" s="5" t="s">
        <v>386</v>
      </c>
      <c r="D47" s="23" t="n">
        <f aca="false">-FC!D28</f>
        <v>2432</v>
      </c>
      <c r="E47" s="23" t="n">
        <f aca="false">-FC!E28</f>
        <v>425</v>
      </c>
      <c r="F47" s="23" t="n">
        <f aca="false">-FC!F28</f>
        <v>300</v>
      </c>
      <c r="G47" s="23" t="n">
        <f aca="false">-FC!G28</f>
        <v>-0</v>
      </c>
      <c r="H47" s="23" t="n">
        <f aca="false">-FC!H28</f>
        <v>650</v>
      </c>
      <c r="I47" s="67" t="n">
        <f aca="false">MAX(0,SUM(I42:I46))</f>
        <v>132266.092166823</v>
      </c>
      <c r="J47" s="67" t="n">
        <f aca="false">MAX(0,SUM(J42:J46))</f>
        <v>196439.426254703</v>
      </c>
      <c r="K47" s="67" t="n">
        <f aca="false">MAX(0,SUM(K42:K46))</f>
        <v>124753.754843799</v>
      </c>
      <c r="L47" s="67" t="n">
        <f aca="false">MAX(0,SUM(L42:L46))</f>
        <v>86471.2891596461</v>
      </c>
      <c r="M47" s="67" t="n">
        <f aca="false">MAX(0,SUM(M42:M46))</f>
        <v>109522.903487689</v>
      </c>
    </row>
    <row r="48" customFormat="false" ht="15" hidden="false" customHeight="false" outlineLevel="0" collapsed="false">
      <c r="B48" s="3" t="s">
        <v>387</v>
      </c>
      <c r="I48" s="14" t="n">
        <f aca="false">IFERROR(I47/I43,"n.m.")</f>
        <v>0.926917724499005</v>
      </c>
      <c r="J48" s="14" t="n">
        <f aca="false">IFERROR(J47/J43,"n.m.")</f>
        <v>1.1438128788828</v>
      </c>
      <c r="K48" s="14" t="n">
        <f aca="false">IFERROR(K47/K43,"n.m.")</f>
        <v>0.9976414988386</v>
      </c>
      <c r="L48" s="14" t="n">
        <f aca="false">IFERROR(L47/L43,"n.m.")</f>
        <v>0.956625817872095</v>
      </c>
      <c r="M48" s="14" t="n">
        <f aca="false">IFERROR(M47/M43,"n.m.")</f>
        <v>0.987229089772538</v>
      </c>
    </row>
    <row r="49" customFormat="false" ht="15" hidden="false" customHeight="false" outlineLevel="0" collapsed="false">
      <c r="B49" s="6" t="s">
        <v>388</v>
      </c>
      <c r="I49" s="66" t="n">
        <f aca="false">H53</f>
        <v>1147</v>
      </c>
      <c r="J49" s="66" t="n">
        <f aca="false">I53</f>
        <v>1033.75809803016</v>
      </c>
      <c r="K49" s="66" t="n">
        <f aca="false">J53</f>
        <v>869.941205634767</v>
      </c>
      <c r="L49" s="66" t="n">
        <f aca="false">K53</f>
        <v>745.621463693926</v>
      </c>
      <c r="M49" s="66" t="n">
        <f aca="false">L53</f>
        <v>644.532352244369</v>
      </c>
    </row>
    <row r="50" customFormat="false" ht="15" hidden="false" customHeight="false" outlineLevel="0" collapsed="false">
      <c r="B50" s="6" t="s">
        <v>389</v>
      </c>
      <c r="I50" s="76" t="n">
        <f aca="false">Premissas!I113</f>
        <v>1100</v>
      </c>
      <c r="J50" s="76" t="n">
        <f aca="false">Premissas!J113</f>
        <v>1150</v>
      </c>
      <c r="K50" s="76" t="n">
        <f aca="false">Premissas!K113</f>
        <v>950</v>
      </c>
      <c r="L50" s="76" t="n">
        <f aca="false">Premissas!L113</f>
        <v>800</v>
      </c>
      <c r="M50" s="76" t="n">
        <f aca="false">Premissas!M113</f>
        <v>900</v>
      </c>
    </row>
    <row r="51" customFormat="false" ht="15" hidden="false" customHeight="false" outlineLevel="0" collapsed="false">
      <c r="B51" s="6" t="s">
        <v>390</v>
      </c>
      <c r="I51" s="66" t="n">
        <f aca="false">-I47/I50</f>
        <v>-120.241901969839</v>
      </c>
      <c r="J51" s="66" t="n">
        <f aca="false">-J47/J50</f>
        <v>-170.816892395394</v>
      </c>
      <c r="K51" s="66" t="n">
        <f aca="false">-K47/K50</f>
        <v>-131.319741940841</v>
      </c>
      <c r="L51" s="66" t="n">
        <f aca="false">-L47/L50</f>
        <v>-108.089111449558</v>
      </c>
      <c r="M51" s="66" t="n">
        <f aca="false">-M47/M50</f>
        <v>-121.692114986321</v>
      </c>
    </row>
    <row r="52" customFormat="false" ht="15" hidden="false" customHeight="false" outlineLevel="0" collapsed="false">
      <c r="B52" s="6" t="s">
        <v>391</v>
      </c>
      <c r="I52" s="25" t="n">
        <f aca="false">Premissas!I137</f>
        <v>7</v>
      </c>
      <c r="J52" s="25" t="n">
        <f aca="false">Premissas!J137</f>
        <v>7</v>
      </c>
      <c r="K52" s="25" t="n">
        <f aca="false">Premissas!K137</f>
        <v>7</v>
      </c>
      <c r="L52" s="25" t="n">
        <f aca="false">Premissas!L137</f>
        <v>7</v>
      </c>
      <c r="M52" s="25" t="n">
        <f aca="false">Premissas!M137</f>
        <v>7</v>
      </c>
    </row>
    <row r="53" customFormat="false" ht="15" hidden="false" customHeight="false" outlineLevel="0" collapsed="false">
      <c r="B53" s="5" t="s">
        <v>392</v>
      </c>
      <c r="C53" s="3" t="s">
        <v>393</v>
      </c>
      <c r="H53" s="23" t="n">
        <f aca="false">Premissas!$I$226</f>
        <v>1147</v>
      </c>
      <c r="I53" s="67" t="n">
        <f aca="false">I49+I51+I52</f>
        <v>1033.75809803016</v>
      </c>
      <c r="J53" s="67" t="n">
        <f aca="false">J49+J51+J52</f>
        <v>869.941205634767</v>
      </c>
      <c r="K53" s="67" t="n">
        <f aca="false">K49+K51+K52</f>
        <v>745.621463693926</v>
      </c>
      <c r="L53" s="67" t="n">
        <f aca="false">L49+L51+L52</f>
        <v>644.532352244369</v>
      </c>
      <c r="M53" s="67" t="n">
        <f aca="false">M49+M51+M52</f>
        <v>529.840237258048</v>
      </c>
    </row>
    <row r="54" customFormat="false" ht="15" hidden="false" customHeight="false" outlineLevel="0" collapsed="false">
      <c r="B54" s="5" t="s">
        <v>394</v>
      </c>
      <c r="I54" s="67" t="n">
        <f aca="false">(I49+I53)/2</f>
        <v>1090.37904901508</v>
      </c>
      <c r="J54" s="67" t="n">
        <f aca="false">(J49+J53)/2</f>
        <v>951.849651832464</v>
      </c>
      <c r="K54" s="67" t="n">
        <f aca="false">(K49+K53)/2</f>
        <v>807.781334664347</v>
      </c>
      <c r="L54" s="67" t="n">
        <f aca="false">(L49+L53)/2</f>
        <v>695.076907969147</v>
      </c>
      <c r="M54" s="67" t="n">
        <f aca="false">(M49+M53)/2</f>
        <v>587.186294751208</v>
      </c>
    </row>
    <row r="55" customFormat="false" ht="15" hidden="false" customHeight="false" outlineLevel="0" collapsed="false">
      <c r="B55" s="6" t="s">
        <v>272</v>
      </c>
      <c r="D55" s="77" t="n">
        <f aca="false">DRE!D42</f>
        <v>0.415</v>
      </c>
      <c r="E55" s="77" t="n">
        <f aca="false">DRE!E42</f>
        <v>0.46</v>
      </c>
      <c r="F55" s="77" t="n">
        <f aca="false">DRE!F42</f>
        <v>0.46</v>
      </c>
      <c r="G55" s="77" t="n">
        <f aca="false">DRE!G42</f>
        <v>0.46</v>
      </c>
      <c r="H55" s="77" t="n">
        <f aca="false">DRE!H42</f>
        <v>0.53</v>
      </c>
      <c r="I55" s="77" t="n">
        <f aca="false">DRE!I42</f>
        <v>0.6996</v>
      </c>
      <c r="J55" s="77" t="n">
        <f aca="false">DRE!J42</f>
        <v>0.902484</v>
      </c>
      <c r="K55" s="77" t="n">
        <f aca="false">DRE!K42</f>
        <v>1.06493112</v>
      </c>
      <c r="L55" s="77" t="n">
        <f aca="false">DRE!L42</f>
        <v>1.1288269872</v>
      </c>
      <c r="M55" s="77" t="n">
        <f aca="false">DRE!M42</f>
        <v>1.18526833656</v>
      </c>
    </row>
    <row r="56" customFormat="false" ht="15" hidden="false" customHeight="false" outlineLevel="0" collapsed="false">
      <c r="B56" s="6" t="s">
        <v>395</v>
      </c>
      <c r="C56" s="3" t="s">
        <v>396</v>
      </c>
      <c r="D56" s="25" t="n">
        <f aca="false">-FC!D27</f>
        <v>461</v>
      </c>
      <c r="E56" s="25" t="n">
        <f aca="false">-FC!E27</f>
        <v>504</v>
      </c>
      <c r="F56" s="25" t="n">
        <f aca="false">-FC!F27</f>
        <v>513</v>
      </c>
      <c r="G56" s="25" t="n">
        <f aca="false">-FC!G27</f>
        <v>522</v>
      </c>
      <c r="H56" s="25" t="n">
        <f aca="false">-FC!H27</f>
        <v>610</v>
      </c>
      <c r="I56" s="66" t="n">
        <f aca="false">I55*I49</f>
        <v>802.4412</v>
      </c>
      <c r="J56" s="66" t="n">
        <f aca="false">J55*J49</f>
        <v>932.950143342652</v>
      </c>
      <c r="K56" s="66" t="n">
        <f aca="false">K55*K49</f>
        <v>926.427462450783</v>
      </c>
      <c r="L56" s="66" t="n">
        <f aca="false">L55*L49</f>
        <v>841.677630453269</v>
      </c>
      <c r="M56" s="66" t="n">
        <f aca="false">M55*M49</f>
        <v>763.943789003787</v>
      </c>
    </row>
    <row r="58" customFormat="false" ht="15" hidden="false" customHeight="false" outlineLevel="0" collapsed="false">
      <c r="B58" s="4" t="s">
        <v>397</v>
      </c>
    </row>
    <row r="59" customFormat="false" ht="15" hidden="false" customHeight="false" outlineLevel="0" collapsed="false">
      <c r="B59" s="6" t="s">
        <v>398</v>
      </c>
      <c r="I59" s="66" t="n">
        <f aca="false">H61</f>
        <v>12895</v>
      </c>
      <c r="J59" s="66" t="n">
        <f aca="false">I61</f>
        <v>10316</v>
      </c>
      <c r="K59" s="66" t="n">
        <f aca="false">J61</f>
        <v>6447.5</v>
      </c>
      <c r="L59" s="66" t="n">
        <f aca="false">K61</f>
        <v>2579</v>
      </c>
      <c r="M59" s="66" t="n">
        <f aca="false">L61</f>
        <v>0</v>
      </c>
    </row>
    <row r="60" customFormat="false" ht="15" hidden="false" customHeight="false" outlineLevel="0" collapsed="false">
      <c r="B60" s="6" t="s">
        <v>399</v>
      </c>
      <c r="C60" s="3" t="s">
        <v>400</v>
      </c>
      <c r="I60" s="66" t="n">
        <f aca="false">-MIN(I59,BP!$H$23*Premissas!I143)</f>
        <v>-2579</v>
      </c>
      <c r="J60" s="66" t="n">
        <f aca="false">-MIN(J59,BP!$H$23*Premissas!J143)</f>
        <v>-3868.5</v>
      </c>
      <c r="K60" s="66" t="n">
        <f aca="false">-MIN(K59,BP!$H$23*Premissas!K143)</f>
        <v>-3868.5</v>
      </c>
      <c r="L60" s="66" t="n">
        <f aca="false">-MIN(L59,BP!$H$23*Premissas!L143)</f>
        <v>-2579</v>
      </c>
      <c r="M60" s="66" t="n">
        <f aca="false">-MIN(M59,BP!$H$23*Premissas!M143)</f>
        <v>-0</v>
      </c>
    </row>
    <row r="61" customFormat="false" ht="15" hidden="false" customHeight="false" outlineLevel="0" collapsed="false">
      <c r="B61" s="5" t="s">
        <v>401</v>
      </c>
      <c r="H61" s="23" t="n">
        <f aca="false">BP!H23</f>
        <v>12895</v>
      </c>
      <c r="I61" s="67" t="n">
        <f aca="false">I59+I60</f>
        <v>10316</v>
      </c>
      <c r="J61" s="67" t="n">
        <f aca="false">J59+J60</f>
        <v>6447.5</v>
      </c>
      <c r="K61" s="67" t="n">
        <f aca="false">K59+K60</f>
        <v>2579</v>
      </c>
      <c r="L61" s="67" t="n">
        <f aca="false">L59+L60</f>
        <v>0</v>
      </c>
      <c r="M61" s="67" t="n">
        <f aca="false">M59+M60</f>
        <v>0</v>
      </c>
    </row>
    <row r="63" customFormat="false" ht="15" hidden="false" customHeight="false" outlineLevel="0" collapsed="false">
      <c r="B63" s="4" t="s">
        <v>402</v>
      </c>
    </row>
    <row r="64" customFormat="false" ht="15" hidden="false" customHeight="false" outlineLevel="0" collapsed="false">
      <c r="B64" s="78" t="s">
        <v>403</v>
      </c>
      <c r="C64" s="79" t="s">
        <v>404</v>
      </c>
      <c r="D64" s="79" t="s">
        <v>405</v>
      </c>
      <c r="E64" s="79" t="s">
        <v>406</v>
      </c>
      <c r="F64" s="79" t="s">
        <v>407</v>
      </c>
      <c r="G64" s="78" t="s">
        <v>408</v>
      </c>
      <c r="H64" s="78" t="s">
        <v>409</v>
      </c>
    </row>
    <row r="65" customFormat="false" ht="15" hidden="false" customHeight="false" outlineLevel="0" collapsed="false">
      <c r="B65" s="6" t="s">
        <v>410</v>
      </c>
      <c r="C65" s="80" t="n">
        <v>0.053</v>
      </c>
      <c r="D65" s="61" t="n">
        <v>2031</v>
      </c>
      <c r="E65" s="64" t="n">
        <v>261</v>
      </c>
      <c r="F65" s="66" t="n">
        <f aca="false">E65*$F$77</f>
        <v>236.231911918909</v>
      </c>
      <c r="G65" s="3" t="s">
        <v>228</v>
      </c>
      <c r="H65" s="3" t="s">
        <v>411</v>
      </c>
    </row>
    <row r="66" customFormat="false" ht="15" hidden="false" customHeight="false" outlineLevel="0" collapsed="false">
      <c r="B66" s="6" t="s">
        <v>412</v>
      </c>
      <c r="C66" s="80" t="n">
        <v>0.02703</v>
      </c>
      <c r="D66" s="61" t="n">
        <v>2032</v>
      </c>
      <c r="E66" s="64" t="n">
        <v>996</v>
      </c>
      <c r="F66" s="66" t="n">
        <f aca="false">E66*$F$77</f>
        <v>901.482698357218</v>
      </c>
      <c r="G66" s="3"/>
      <c r="H66" s="3" t="s">
        <v>413</v>
      </c>
    </row>
    <row r="67" customFormat="false" ht="15" hidden="false" customHeight="false" outlineLevel="0" collapsed="false">
      <c r="B67" s="6" t="s">
        <v>414</v>
      </c>
      <c r="C67" s="80" t="n">
        <v>0.0565</v>
      </c>
      <c r="D67" s="61" t="n">
        <v>2032</v>
      </c>
      <c r="E67" s="64" t="n">
        <v>70</v>
      </c>
      <c r="F67" s="66" t="n">
        <f aca="false">E67*$F$77</f>
        <v>63.3572177560294</v>
      </c>
      <c r="G67" s="3" t="s">
        <v>228</v>
      </c>
      <c r="H67" s="3" t="s">
        <v>415</v>
      </c>
    </row>
    <row r="68" customFormat="false" ht="15" hidden="false" customHeight="false" outlineLevel="0" collapsed="false">
      <c r="B68" s="6" t="s">
        <v>416</v>
      </c>
      <c r="C68" s="80" t="n">
        <v>0.05875</v>
      </c>
      <c r="D68" s="61" t="n">
        <v>2033</v>
      </c>
      <c r="E68" s="64" t="n">
        <v>175</v>
      </c>
      <c r="F68" s="66" t="n">
        <f aca="false">E68*$F$77</f>
        <v>158.393044390073</v>
      </c>
      <c r="G68" s="3" t="s">
        <v>228</v>
      </c>
      <c r="H68" s="3" t="s">
        <v>417</v>
      </c>
    </row>
    <row r="69" customFormat="false" ht="15" hidden="false" customHeight="false" outlineLevel="0" collapsed="false">
      <c r="B69" s="6" t="s">
        <v>418</v>
      </c>
      <c r="C69" s="80" t="n">
        <v>0.05875</v>
      </c>
      <c r="D69" s="61" t="n">
        <v>2033</v>
      </c>
      <c r="E69" s="64" t="n">
        <v>213</v>
      </c>
      <c r="F69" s="66" t="n">
        <f aca="false">E69*$F$77</f>
        <v>192.786962600489</v>
      </c>
      <c r="G69" s="3" t="s">
        <v>228</v>
      </c>
      <c r="H69" s="3" t="s">
        <v>419</v>
      </c>
    </row>
    <row r="70" customFormat="false" ht="15" hidden="false" customHeight="false" outlineLevel="0" collapsed="false">
      <c r="B70" s="6" t="s">
        <v>420</v>
      </c>
      <c r="C70" s="80" t="n">
        <v>0.058</v>
      </c>
      <c r="D70" s="61" t="n">
        <v>2035</v>
      </c>
      <c r="E70" s="64" t="n">
        <v>135</v>
      </c>
      <c r="F70" s="66" t="n">
        <f aca="false">E70*$F$77</f>
        <v>122.188919958057</v>
      </c>
      <c r="G70" s="3" t="s">
        <v>228</v>
      </c>
      <c r="H70" s="3" t="s">
        <v>421</v>
      </c>
    </row>
    <row r="71" customFormat="false" ht="15" hidden="false" customHeight="false" outlineLevel="0" collapsed="false">
      <c r="B71" s="6" t="s">
        <v>422</v>
      </c>
      <c r="C71" s="80" t="n">
        <v>0.0605</v>
      </c>
      <c r="D71" s="61" t="n">
        <v>2035</v>
      </c>
      <c r="E71" s="64" t="n">
        <v>219</v>
      </c>
      <c r="F71" s="66" t="n">
        <f aca="false">E71*$F$77</f>
        <v>198.217581265292</v>
      </c>
      <c r="G71" s="3" t="s">
        <v>228</v>
      </c>
      <c r="H71" s="3" t="s">
        <v>423</v>
      </c>
    </row>
    <row r="72" customFormat="false" ht="15" hidden="false" customHeight="false" outlineLevel="0" collapsed="false">
      <c r="B72" s="6" t="s">
        <v>424</v>
      </c>
      <c r="C72" s="80" t="n">
        <v>0.03366</v>
      </c>
      <c r="D72" s="61" t="n">
        <v>2041</v>
      </c>
      <c r="E72" s="64" t="n">
        <v>497</v>
      </c>
      <c r="F72" s="66" t="n">
        <f aca="false">E72*$F$77</f>
        <v>449.836246067808</v>
      </c>
      <c r="G72" s="3"/>
      <c r="H72" s="3" t="s">
        <v>425</v>
      </c>
    </row>
    <row r="73" customFormat="false" ht="15" hidden="false" customHeight="false" outlineLevel="0" collapsed="false">
      <c r="B73" s="6" t="s">
        <v>426</v>
      </c>
      <c r="C73" s="80" t="n">
        <v>0.03477</v>
      </c>
      <c r="D73" s="61" t="n">
        <v>2051</v>
      </c>
      <c r="E73" s="64" t="n">
        <v>486</v>
      </c>
      <c r="F73" s="66" t="n">
        <f aca="false">E73*$F$77</f>
        <v>439.880111849004</v>
      </c>
      <c r="G73" s="3" t="s">
        <v>228</v>
      </c>
      <c r="H73" s="3" t="s">
        <v>427</v>
      </c>
    </row>
    <row r="74" customFormat="false" ht="15" hidden="false" customHeight="false" outlineLevel="0" collapsed="false">
      <c r="B74" s="6" t="s">
        <v>428</v>
      </c>
      <c r="C74" s="80" t="n">
        <v>0.0472</v>
      </c>
      <c r="D74" s="81" t="s">
        <v>429</v>
      </c>
      <c r="E74" s="64" t="n">
        <v>2670</v>
      </c>
      <c r="F74" s="66" t="n">
        <f aca="false">E74*$F$77</f>
        <v>2416.62530583712</v>
      </c>
      <c r="G74" s="3" t="s">
        <v>228</v>
      </c>
      <c r="H74" s="3" t="s">
        <v>430</v>
      </c>
    </row>
    <row r="75" customFormat="false" ht="15" hidden="false" customHeight="false" outlineLevel="0" collapsed="false">
      <c r="B75" s="5" t="s">
        <v>431</v>
      </c>
      <c r="E75" s="67" t="n">
        <f aca="false">SUM(E65:E74)</f>
        <v>5722</v>
      </c>
      <c r="F75" s="67" t="n">
        <f aca="false">SUM(F65:F74)</f>
        <v>5179</v>
      </c>
    </row>
    <row r="76" customFormat="false" ht="15" hidden="false" customHeight="false" outlineLevel="0" collapsed="false">
      <c r="B76" s="3" t="s">
        <v>432</v>
      </c>
      <c r="E76" s="66" t="n">
        <f aca="false">BP!$H$19+BP!$H$22</f>
        <v>5179</v>
      </c>
    </row>
    <row r="77" customFormat="false" ht="15" hidden="false" customHeight="false" outlineLevel="0" collapsed="false">
      <c r="B77" s="3" t="s">
        <v>433</v>
      </c>
      <c r="F77" s="82" t="n">
        <f aca="false">E76/E75</f>
        <v>0.905103110800419</v>
      </c>
    </row>
    <row r="78" customFormat="false" ht="15" hidden="false" customHeight="false" outlineLevel="0" collapsed="false">
      <c r="B78" s="3" t="s">
        <v>434</v>
      </c>
      <c r="E78" s="45" t="n">
        <f aca="false">SUMPRODUCT(C65:C74,E65:E74)/SUM(E65:E74)</f>
        <v>0.0433826668996854</v>
      </c>
    </row>
    <row r="79" customFormat="false" ht="15" hidden="false" customHeight="false" outlineLevel="0" collapsed="false">
      <c r="B79" s="3" t="s">
        <v>435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N82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3" min="4" style="1" width="10"/>
    <col collapsed="false" customWidth="true" hidden="false" outlineLevel="0" max="14" min="14" style="1" width="12"/>
  </cols>
  <sheetData>
    <row r="1" customFormat="false" ht="15" hidden="false" customHeight="false" outlineLevel="0" collapsed="false">
      <c r="B1" s="2" t="s">
        <v>436</v>
      </c>
    </row>
    <row r="2" customFormat="false" ht="15" hidden="false" customHeight="false" outlineLevel="0" collapsed="false">
      <c r="B2" s="3" t="s">
        <v>437</v>
      </c>
    </row>
    <row r="4" customFormat="false" ht="15" hidden="false" customHeight="false" outlineLevel="0" collapsed="false">
      <c r="B4" s="20" t="s">
        <v>27</v>
      </c>
      <c r="C4" s="21"/>
      <c r="D4" s="22" t="s">
        <v>95</v>
      </c>
      <c r="E4" s="22" t="s">
        <v>96</v>
      </c>
      <c r="F4" s="22" t="s">
        <v>28</v>
      </c>
      <c r="G4" s="22" t="s">
        <v>29</v>
      </c>
      <c r="H4" s="22" t="s">
        <v>30</v>
      </c>
      <c r="I4" s="22" t="s">
        <v>31</v>
      </c>
      <c r="J4" s="22" t="s">
        <v>32</v>
      </c>
      <c r="K4" s="22" t="s">
        <v>33</v>
      </c>
      <c r="L4" s="22" t="s">
        <v>34</v>
      </c>
      <c r="M4" s="22" t="s">
        <v>35</v>
      </c>
      <c r="N4" s="22" t="s">
        <v>36</v>
      </c>
    </row>
    <row r="5" customFormat="false" ht="15" hidden="false" customHeight="false" outlineLevel="0" collapsed="false">
      <c r="B5" s="3" t="s">
        <v>438</v>
      </c>
      <c r="I5" s="72" t="n">
        <v>1</v>
      </c>
      <c r="J5" s="72" t="n">
        <f aca="false">I5+1</f>
        <v>2</v>
      </c>
      <c r="K5" s="72" t="n">
        <f aca="false">J5+1</f>
        <v>3</v>
      </c>
      <c r="L5" s="72" t="n">
        <f aca="false">K5+1</f>
        <v>4</v>
      </c>
      <c r="M5" s="72" t="n">
        <f aca="false">L5+1</f>
        <v>5</v>
      </c>
    </row>
    <row r="6" customFormat="false" ht="15" hidden="false" customHeight="false" outlineLevel="0" collapsed="false">
      <c r="B6" s="5" t="s">
        <v>37</v>
      </c>
      <c r="I6" s="23" t="n">
        <f aca="false">DRE!I5</f>
        <v>272833.3148</v>
      </c>
      <c r="J6" s="23" t="n">
        <f aca="false">DRE!J5</f>
        <v>300526.6270496</v>
      </c>
      <c r="K6" s="23" t="n">
        <f aca="false">DRE!K5</f>
        <v>213423.92749496</v>
      </c>
      <c r="L6" s="23" t="n">
        <f aca="false">DRE!L5</f>
        <v>166708.59391384</v>
      </c>
      <c r="M6" s="23" t="n">
        <f aca="false">DRE!M5</f>
        <v>206885.777928251</v>
      </c>
      <c r="N6" s="67" t="n">
        <f aca="false">M6*Premissas!$I$167</f>
        <v>196541.489031839</v>
      </c>
    </row>
    <row r="7" customFormat="false" ht="15" hidden="false" customHeight="false" outlineLevel="0" collapsed="false">
      <c r="B7" s="3" t="s">
        <v>39</v>
      </c>
      <c r="I7" s="14" t="n">
        <f aca="false">DRE!I9</f>
        <v>0.868059423965918</v>
      </c>
      <c r="J7" s="14" t="n">
        <f aca="false">DRE!J9</f>
        <v>0.861683177531501</v>
      </c>
      <c r="K7" s="14" t="n">
        <f aca="false">DRE!K9</f>
        <v>0.769645929688608</v>
      </c>
      <c r="L7" s="14" t="n">
        <f aca="false">DRE!L9</f>
        <v>0.683064294352521</v>
      </c>
      <c r="M7" s="14" t="n">
        <f aca="false">DRE!M9</f>
        <v>0.728628795051084</v>
      </c>
      <c r="N7" s="24" t="n">
        <f aca="false">Premissas!$I$162</f>
        <v>0.62</v>
      </c>
    </row>
    <row r="8" customFormat="false" ht="15" hidden="false" customHeight="false" outlineLevel="0" collapsed="false">
      <c r="B8" s="6" t="s">
        <v>439</v>
      </c>
      <c r="I8" s="66" t="n">
        <f aca="false">I6*I7</f>
        <v>236835.530084</v>
      </c>
      <c r="J8" s="66" t="n">
        <f aca="false">J6*J7</f>
        <v>258958.738928924</v>
      </c>
      <c r="K8" s="66" t="n">
        <f aca="false">K6*K7</f>
        <v>164260.857094652</v>
      </c>
      <c r="L8" s="66" t="n">
        <f aca="false">L6*L7</f>
        <v>113872.688064258</v>
      </c>
      <c r="M8" s="66" t="n">
        <f aca="false">M6*M7</f>
        <v>150742.935085068</v>
      </c>
      <c r="N8" s="66" t="n">
        <f aca="false">N6*N7</f>
        <v>121855.72319974</v>
      </c>
    </row>
    <row r="9" customFormat="false" ht="15" hidden="false" customHeight="false" outlineLevel="0" collapsed="false">
      <c r="B9" s="6" t="s">
        <v>440</v>
      </c>
      <c r="I9" s="66" t="n">
        <f aca="false">DRE!I10+DRE!I11+DRE!I12</f>
        <v>-9891.75</v>
      </c>
      <c r="J9" s="66" t="n">
        <f aca="false">DRE!J10+DRE!J11+DRE!J12</f>
        <v>-11080.3275</v>
      </c>
      <c r="K9" s="66" t="n">
        <f aca="false">DRE!K10+DRE!K11+DRE!K12</f>
        <v>-11306.625825</v>
      </c>
      <c r="L9" s="66" t="n">
        <f aca="false">DRE!L10+DRE!L11+DRE!L12</f>
        <v>-11001.70551975</v>
      </c>
      <c r="M9" s="66" t="n">
        <f aca="false">DRE!M10+DRE!M11+DRE!M12</f>
        <v>-11636.8583844975</v>
      </c>
      <c r="N9" s="66" t="n">
        <f aca="false">-N6*Premissas!$I$172</f>
        <v>-14150.9872102924</v>
      </c>
    </row>
    <row r="10" customFormat="false" ht="15" hidden="false" customHeight="false" outlineLevel="0" collapsed="false">
      <c r="B10" s="5" t="s">
        <v>42</v>
      </c>
      <c r="I10" s="67" t="n">
        <f aca="false">I8+I9</f>
        <v>226943.780084</v>
      </c>
      <c r="J10" s="67" t="n">
        <f aca="false">J8+J9</f>
        <v>247878.411428924</v>
      </c>
      <c r="K10" s="67" t="n">
        <f aca="false">K8+K9</f>
        <v>152954.231269653</v>
      </c>
      <c r="L10" s="67" t="n">
        <f aca="false">L8+L9</f>
        <v>102870.982544508</v>
      </c>
      <c r="M10" s="67" t="n">
        <f aca="false">M8+M9</f>
        <v>139106.07670057</v>
      </c>
      <c r="N10" s="67" t="n">
        <f aca="false">N8+N9</f>
        <v>107704.735989448</v>
      </c>
    </row>
    <row r="11" customFormat="false" ht="15" hidden="false" customHeight="false" outlineLevel="0" collapsed="false">
      <c r="B11" s="3" t="s">
        <v>247</v>
      </c>
      <c r="I11" s="14" t="n">
        <f aca="false">I10/I6</f>
        <v>0.831803770922773</v>
      </c>
      <c r="J11" s="14" t="n">
        <f aca="false">J10/J6</f>
        <v>0.824813474474636</v>
      </c>
      <c r="K11" s="14" t="n">
        <f aca="false">K10/K6</f>
        <v>0.716668618485922</v>
      </c>
      <c r="L11" s="14" t="n">
        <f aca="false">L10/L6</f>
        <v>0.617070662821828</v>
      </c>
      <c r="M11" s="14" t="n">
        <f aca="false">M10/M6</f>
        <v>0.672381050517706</v>
      </c>
      <c r="N11" s="14" t="n">
        <f aca="false">N10/N6</f>
        <v>0.548</v>
      </c>
    </row>
    <row r="12" customFormat="false" ht="15" hidden="false" customHeight="false" outlineLevel="0" collapsed="false">
      <c r="B12" s="3" t="s">
        <v>141</v>
      </c>
      <c r="I12" s="14" t="n">
        <f aca="false">Premissas!I83</f>
        <v>0.155</v>
      </c>
      <c r="J12" s="14" t="n">
        <f aca="false">Premissas!J83</f>
        <v>0.158</v>
      </c>
      <c r="K12" s="14" t="n">
        <f aca="false">Premissas!K83</f>
        <v>0.15</v>
      </c>
      <c r="L12" s="14" t="n">
        <f aca="false">Premissas!L83</f>
        <v>0.165</v>
      </c>
      <c r="M12" s="14" t="n">
        <f aca="false">Premissas!M83</f>
        <v>0.155</v>
      </c>
      <c r="N12" s="24" t="n">
        <f aca="false">Premissas!$I$187</f>
        <v>0.155</v>
      </c>
    </row>
    <row r="13" customFormat="false" ht="15" hidden="false" customHeight="false" outlineLevel="0" collapsed="false">
      <c r="B13" s="6" t="s">
        <v>441</v>
      </c>
      <c r="I13" s="66" t="n">
        <f aca="false">I10*(1-I12)</f>
        <v>191767.49417098</v>
      </c>
      <c r="J13" s="66" t="n">
        <f aca="false">J10*(1-J12)</f>
        <v>208713.622423154</v>
      </c>
      <c r="K13" s="66" t="n">
        <f aca="false">K10*(1-K12)</f>
        <v>130011.096579205</v>
      </c>
      <c r="L13" s="66" t="n">
        <f aca="false">L10*(1-L12)</f>
        <v>85897.2704246644</v>
      </c>
      <c r="M13" s="66" t="n">
        <f aca="false">M10*(1-M12)</f>
        <v>117544.634811982</v>
      </c>
      <c r="N13" s="66" t="n">
        <f aca="false">N10*(1-N12)</f>
        <v>91010.5019110833</v>
      </c>
    </row>
    <row r="14" customFormat="false" ht="15" hidden="false" customHeight="false" outlineLevel="0" collapsed="false">
      <c r="B14" s="6" t="s">
        <v>308</v>
      </c>
      <c r="I14" s="25" t="n">
        <f aca="false">-Suporte!I10</f>
        <v>12472.07</v>
      </c>
      <c r="J14" s="25" t="n">
        <f aca="false">-Suporte!J10</f>
        <v>16968.25845</v>
      </c>
      <c r="K14" s="25" t="n">
        <f aca="false">-Suporte!K10</f>
        <v>23019.147448</v>
      </c>
      <c r="L14" s="25" t="n">
        <f aca="false">-Suporte!L10</f>
        <v>27004.58909734</v>
      </c>
      <c r="M14" s="25" t="n">
        <f aca="false">-Suporte!M10</f>
        <v>29132.2683008388</v>
      </c>
      <c r="N14" s="66" t="n">
        <f aca="false">N6*Premissas!$I$182</f>
        <v>32429.3456902534</v>
      </c>
    </row>
    <row r="15" customFormat="false" ht="15" hidden="false" customHeight="false" outlineLevel="0" collapsed="false">
      <c r="B15" s="6" t="s">
        <v>318</v>
      </c>
      <c r="I15" s="25" t="n">
        <f aca="false">-Suporte!I9</f>
        <v>-52000</v>
      </c>
      <c r="J15" s="25" t="n">
        <f aca="false">-Suporte!J9</f>
        <v>-58000</v>
      </c>
      <c r="K15" s="25" t="n">
        <f aca="false">-Suporte!K9</f>
        <v>-38000</v>
      </c>
      <c r="L15" s="25" t="n">
        <f aca="false">-Suporte!L9</f>
        <v>-30000</v>
      </c>
      <c r="M15" s="25" t="n">
        <f aca="false">-Suporte!M9</f>
        <v>-36000</v>
      </c>
      <c r="N15" s="66" t="n">
        <f aca="false">-N6*Premissas!$I$177</f>
        <v>-47169.9573676413</v>
      </c>
    </row>
    <row r="16" customFormat="false" ht="15" hidden="false" customHeight="false" outlineLevel="0" collapsed="false">
      <c r="B16" s="6" t="s">
        <v>442</v>
      </c>
      <c r="I16" s="25" t="n">
        <f aca="false">-Suporte!I24</f>
        <v>-14018.2035321973</v>
      </c>
      <c r="J16" s="25" t="n">
        <f aca="false">-Suporte!J24</f>
        <v>-818.952030684581</v>
      </c>
      <c r="K16" s="25" t="n">
        <f aca="false">-Suporte!K24</f>
        <v>6056.66257735373</v>
      </c>
      <c r="L16" s="25" t="n">
        <f aca="false">-Suporte!L24</f>
        <v>3715.61045621327</v>
      </c>
      <c r="M16" s="25" t="n">
        <f aca="false">-Suporte!M24</f>
        <v>-3749.21043767042</v>
      </c>
      <c r="N16" s="66" t="n">
        <f aca="false">-Premissas!$I$192*N6*Premissas!$I$213</f>
        <v>-884.436700643275</v>
      </c>
    </row>
    <row r="17" customFormat="false" ht="15" hidden="false" customHeight="false" outlineLevel="0" collapsed="false">
      <c r="B17" s="5" t="s">
        <v>443</v>
      </c>
      <c r="I17" s="67" t="n">
        <f aca="false">I13+I14+I15+I16</f>
        <v>138221.360638783</v>
      </c>
      <c r="J17" s="67" t="n">
        <f aca="false">J13+J14+J15+J16</f>
        <v>166862.928842469</v>
      </c>
      <c r="K17" s="67" t="n">
        <f aca="false">K13+K14+K15+K16</f>
        <v>121086.906604558</v>
      </c>
      <c r="L17" s="67" t="n">
        <f aca="false">L13+L14+L15+L16</f>
        <v>86617.4699782177</v>
      </c>
      <c r="M17" s="67" t="n">
        <f aca="false">M13+M14+M15+M16</f>
        <v>106927.69267515</v>
      </c>
      <c r="N17" s="67" t="n">
        <f aca="false">N13+N14+N15+N16</f>
        <v>75385.4535330521</v>
      </c>
    </row>
    <row r="18" customFormat="false" ht="15" hidden="false" customHeight="false" outlineLevel="0" collapsed="false">
      <c r="B18" s="3" t="s">
        <v>444</v>
      </c>
      <c r="I18" s="14" t="n">
        <f aca="false">I17/I6</f>
        <v>0.50661467328543</v>
      </c>
      <c r="J18" s="14" t="n">
        <f aca="false">J17/J6</f>
        <v>0.555235090083813</v>
      </c>
      <c r="K18" s="14" t="n">
        <f aca="false">K17/K6</f>
        <v>0.567353942108566</v>
      </c>
      <c r="L18" s="14" t="n">
        <f aca="false">L17/L6</f>
        <v>0.519574113995491</v>
      </c>
      <c r="M18" s="14" t="n">
        <f aca="false">M17/M6</f>
        <v>0.516844095065023</v>
      </c>
      <c r="N18" s="14" t="n">
        <f aca="false">N17/N6</f>
        <v>0.38356</v>
      </c>
    </row>
    <row r="19" customFormat="false" ht="15" hidden="false" customHeight="false" outlineLevel="0" collapsed="false">
      <c r="B19" s="6" t="s">
        <v>445</v>
      </c>
      <c r="I19" s="83" t="n">
        <f aca="false">$I$59+(I5-1)-$I$58/2</f>
        <v>0.404109589041096</v>
      </c>
      <c r="J19" s="83" t="n">
        <f aca="false">$I$59+(J5-1)-$I$58/2</f>
        <v>1.4041095890411</v>
      </c>
      <c r="K19" s="83" t="n">
        <f aca="false">$I$59+(K5-1)-$I$58/2</f>
        <v>2.4041095890411</v>
      </c>
      <c r="L19" s="83" t="n">
        <f aca="false">$I$59+(L5-1)-$I$58/2</f>
        <v>3.4041095890411</v>
      </c>
      <c r="M19" s="83" t="n">
        <f aca="false">$I$59+(M5-1)-$I$58/2</f>
        <v>4.4041095890411</v>
      </c>
    </row>
    <row r="20" customFormat="false" ht="15" hidden="false" customHeight="false" outlineLevel="0" collapsed="false">
      <c r="B20" s="6" t="s">
        <v>446</v>
      </c>
      <c r="I20" s="84" t="n">
        <f aca="false">1/(1+$I$56)^I19</f>
        <v>0.952238504369659</v>
      </c>
      <c r="J20" s="84" t="n">
        <f aca="false">1/(1+$I$56)^J19</f>
        <v>0.843626954305949</v>
      </c>
      <c r="K20" s="84" t="n">
        <f aca="false">1/(1+$I$56)^K19</f>
        <v>0.747403549389815</v>
      </c>
      <c r="L20" s="84" t="n">
        <f aca="false">1/(1+$I$56)^L19</f>
        <v>0.662155307851755</v>
      </c>
      <c r="M20" s="84" t="n">
        <f aca="false">1/(1+$I$56)^M19</f>
        <v>0.586630411474772</v>
      </c>
    </row>
    <row r="21" customFormat="false" ht="15" hidden="false" customHeight="false" outlineLevel="0" collapsed="false">
      <c r="B21" s="6" t="s">
        <v>447</v>
      </c>
      <c r="I21" s="66" t="n">
        <f aca="false">I17*I20</f>
        <v>131619.701726614</v>
      </c>
      <c r="J21" s="66" t="n">
        <f aca="false">J17*J20</f>
        <v>140770.064445942</v>
      </c>
      <c r="K21" s="66" t="n">
        <f aca="false">K17*K20</f>
        <v>90500.78378088</v>
      </c>
      <c r="L21" s="66" t="n">
        <f aca="false">L17*L20</f>
        <v>57354.2174987668</v>
      </c>
      <c r="M21" s="66" t="n">
        <f aca="false">M17*M20</f>
        <v>62727.0363520714</v>
      </c>
    </row>
    <row r="23" customFormat="false" ht="15" hidden="false" customHeight="false" outlineLevel="0" collapsed="false">
      <c r="B23" s="4" t="s">
        <v>448</v>
      </c>
    </row>
    <row r="24" customFormat="false" ht="15" hidden="false" customHeight="false" outlineLevel="0" collapsed="false">
      <c r="B24" s="6" t="s">
        <v>449</v>
      </c>
      <c r="I24" s="66" t="n">
        <f aca="false">SUM(I21:M21)</f>
        <v>482971.803804274</v>
      </c>
    </row>
    <row r="25" customFormat="false" ht="15" hidden="false" customHeight="false" outlineLevel="0" collapsed="false">
      <c r="B25" s="6" t="s">
        <v>450</v>
      </c>
      <c r="I25" s="66" t="n">
        <f aca="false">N17*(1+I57)/(I56-I57)</f>
        <v>786350.07026071</v>
      </c>
    </row>
    <row r="26" customFormat="false" ht="15" hidden="false" customHeight="false" outlineLevel="0" collapsed="false">
      <c r="B26" s="6" t="s">
        <v>451</v>
      </c>
      <c r="I26" s="66" t="n">
        <f aca="false">I25*M20</f>
        <v>461296.865280256</v>
      </c>
    </row>
    <row r="27" customFormat="false" ht="15" hidden="false" customHeight="false" outlineLevel="0" collapsed="false">
      <c r="B27" s="5" t="s">
        <v>452</v>
      </c>
      <c r="I27" s="67" t="n">
        <f aca="false">I24+I26</f>
        <v>944268.66908453</v>
      </c>
    </row>
    <row r="28" customFormat="false" ht="15" hidden="false" customHeight="false" outlineLevel="0" collapsed="false">
      <c r="B28" s="3" t="s">
        <v>453</v>
      </c>
      <c r="I28" s="14" t="n">
        <f aca="false">I26/I27</f>
        <v>0.488522896483989</v>
      </c>
    </row>
    <row r="29" customFormat="false" ht="15" hidden="false" customHeight="false" outlineLevel="0" collapsed="false">
      <c r="B29" s="6" t="s">
        <v>454</v>
      </c>
      <c r="I29" s="25" t="n">
        <f aca="false">BP!$H$5</f>
        <v>73453</v>
      </c>
    </row>
    <row r="30" customFormat="false" ht="15" hidden="false" customHeight="false" outlineLevel="0" collapsed="false">
      <c r="B30" s="6" t="s">
        <v>455</v>
      </c>
      <c r="I30" s="66" t="n">
        <f aca="false">-(BP!$H$19+BP!$H$22+BP!$H$23)</f>
        <v>-18074</v>
      </c>
    </row>
    <row r="31" customFormat="false" ht="15" hidden="false" customHeight="false" outlineLevel="0" collapsed="false">
      <c r="B31" s="5" t="s">
        <v>456</v>
      </c>
      <c r="I31" s="67" t="n">
        <f aca="false">I27+I29+I30</f>
        <v>999647.66908453</v>
      </c>
    </row>
    <row r="32" customFormat="false" ht="15" hidden="false" customHeight="false" outlineLevel="0" collapsed="false">
      <c r="B32" s="6" t="s">
        <v>457</v>
      </c>
      <c r="C32" s="3" t="s">
        <v>458</v>
      </c>
      <c r="I32" s="25" t="n">
        <f aca="false">Premissas!$I$226</f>
        <v>1147</v>
      </c>
    </row>
    <row r="33" customFormat="false" ht="15" hidden="false" customHeight="false" outlineLevel="0" collapsed="false">
      <c r="B33" s="5" t="s">
        <v>459</v>
      </c>
      <c r="I33" s="53" t="n">
        <f aca="false">I31/I32</f>
        <v>871.532405479102</v>
      </c>
    </row>
    <row r="34" customFormat="false" ht="15" hidden="false" customHeight="false" outlineLevel="0" collapsed="false">
      <c r="B34" s="3" t="s">
        <v>460</v>
      </c>
      <c r="I34" s="45" t="n">
        <f aca="false">I51</f>
        <v>0.12914</v>
      </c>
    </row>
    <row r="35" customFormat="false" ht="15" hidden="false" customHeight="false" outlineLevel="0" collapsed="false">
      <c r="B35" s="3" t="s">
        <v>461</v>
      </c>
      <c r="I35" s="27" t="n">
        <f aca="false">DRE!$I$42</f>
        <v>0.6996</v>
      </c>
    </row>
    <row r="36" customFormat="false" ht="15" hidden="false" customHeight="false" outlineLevel="0" collapsed="false">
      <c r="B36" s="5" t="s">
        <v>462</v>
      </c>
      <c r="I36" s="53" t="n">
        <f aca="false">I33*(1+I34)-I35</f>
        <v>983.382500322673</v>
      </c>
    </row>
    <row r="37" customFormat="false" ht="15" hidden="false" customHeight="false" outlineLevel="0" collapsed="false">
      <c r="B37" s="6" t="s">
        <v>463</v>
      </c>
      <c r="I37" s="76" t="n">
        <f aca="false">Premissas!$I$224</f>
        <v>1045.56</v>
      </c>
    </row>
    <row r="38" customFormat="false" ht="15" hidden="false" customHeight="false" outlineLevel="0" collapsed="false">
      <c r="B38" s="5" t="s">
        <v>65</v>
      </c>
      <c r="I38" s="60" t="n">
        <f aca="false">I36/I37-1</f>
        <v>-0.0594681316015597</v>
      </c>
    </row>
    <row r="40" customFormat="false" ht="15" hidden="false" customHeight="false" outlineLevel="0" collapsed="false">
      <c r="B40" s="4" t="s">
        <v>464</v>
      </c>
    </row>
    <row r="41" customFormat="false" ht="15" hidden="false" customHeight="false" outlineLevel="0" collapsed="false">
      <c r="B41" s="6" t="s">
        <v>465</v>
      </c>
      <c r="I41" s="66" t="n">
        <f aca="false">I36*I32-I29-I30</f>
        <v>1072560.72787011</v>
      </c>
    </row>
    <row r="42" customFormat="false" ht="15" hidden="false" customHeight="false" outlineLevel="0" collapsed="false">
      <c r="B42" s="6" t="s">
        <v>466</v>
      </c>
      <c r="I42" s="30" t="n">
        <f aca="false">I41/DRE!$I$16</f>
        <v>4.47990693804856</v>
      </c>
    </row>
    <row r="43" customFormat="false" ht="15" hidden="false" customHeight="false" outlineLevel="0" collapsed="false">
      <c r="B43" s="6" t="s">
        <v>467</v>
      </c>
      <c r="I43" s="30" t="n">
        <f aca="false">I41/DRE!$J$16</f>
        <v>4.04974217104725</v>
      </c>
    </row>
    <row r="44" customFormat="false" ht="15" hidden="false" customHeight="false" outlineLevel="0" collapsed="false">
      <c r="B44" s="6" t="s">
        <v>468</v>
      </c>
      <c r="I44" s="30" t="n">
        <f aca="false">I36/DRE!$I$39</f>
        <v>5.47261252014306</v>
      </c>
    </row>
    <row r="45" customFormat="false" ht="15" hidden="false" customHeight="false" outlineLevel="0" collapsed="false">
      <c r="B45" s="6" t="s">
        <v>469</v>
      </c>
      <c r="I45" s="30" t="n">
        <f aca="false">I36/DRE!$J$39</f>
        <v>4.38976329892409</v>
      </c>
    </row>
    <row r="47" customFormat="false" ht="15" hidden="false" customHeight="false" outlineLevel="0" collapsed="false">
      <c r="B47" s="4" t="s">
        <v>470</v>
      </c>
    </row>
    <row r="48" customFormat="false" ht="15" hidden="false" customHeight="false" outlineLevel="0" collapsed="false">
      <c r="B48" s="6" t="s">
        <v>471</v>
      </c>
      <c r="I48" s="85" t="n">
        <f aca="false">Premissas!$I$195</f>
        <v>0.0527</v>
      </c>
    </row>
    <row r="49" customFormat="false" ht="15" hidden="false" customHeight="false" outlineLevel="0" collapsed="false">
      <c r="B49" s="6" t="s">
        <v>472</v>
      </c>
      <c r="I49" s="86" t="n">
        <f aca="false">Premissas!$I$200</f>
        <v>1.82</v>
      </c>
    </row>
    <row r="50" customFormat="false" ht="15" hidden="false" customHeight="false" outlineLevel="0" collapsed="false">
      <c r="B50" s="6" t="s">
        <v>473</v>
      </c>
      <c r="I50" s="85" t="n">
        <f aca="false">Premissas!$I$201</f>
        <v>0.042</v>
      </c>
    </row>
    <row r="51" customFormat="false" ht="15" hidden="false" customHeight="false" outlineLevel="0" collapsed="false">
      <c r="B51" s="6" t="s">
        <v>474</v>
      </c>
      <c r="I51" s="85" t="n">
        <f aca="false">Premissas!$I$202</f>
        <v>0.12914</v>
      </c>
    </row>
    <row r="52" customFormat="false" ht="15" hidden="false" customHeight="false" outlineLevel="0" collapsed="false">
      <c r="B52" s="6" t="s">
        <v>475</v>
      </c>
      <c r="I52" s="85" t="n">
        <f aca="false">Premissas!$I$203</f>
        <v>0.059</v>
      </c>
    </row>
    <row r="53" customFormat="false" ht="15" hidden="false" customHeight="false" outlineLevel="0" collapsed="false">
      <c r="B53" s="6" t="s">
        <v>141</v>
      </c>
      <c r="I53" s="24" t="n">
        <f aca="false">Premissas!$I$204</f>
        <v>0.155</v>
      </c>
    </row>
    <row r="54" customFormat="false" ht="15" hidden="false" customHeight="false" outlineLevel="0" collapsed="false">
      <c r="B54" s="6" t="s">
        <v>476</v>
      </c>
      <c r="I54" s="24" t="n">
        <f aca="false">Premissas!$I$207</f>
        <v>0.995</v>
      </c>
    </row>
    <row r="55" customFormat="false" ht="15" hidden="false" customHeight="false" outlineLevel="0" collapsed="false">
      <c r="B55" s="6" t="s">
        <v>477</v>
      </c>
      <c r="I55" s="24" t="n">
        <f aca="false">Premissas!$I$206</f>
        <v>0.005</v>
      </c>
    </row>
    <row r="56" customFormat="false" ht="15" hidden="false" customHeight="false" outlineLevel="0" collapsed="false">
      <c r="B56" s="5" t="s">
        <v>153</v>
      </c>
      <c r="I56" s="87" t="n">
        <f aca="false">Premissas!$I$208</f>
        <v>0.128743575</v>
      </c>
    </row>
    <row r="57" customFormat="false" ht="15" hidden="false" customHeight="false" outlineLevel="0" collapsed="false">
      <c r="B57" s="5" t="s">
        <v>478</v>
      </c>
      <c r="I57" s="88" t="n">
        <f aca="false">Premissas!$I$213</f>
        <v>0.03</v>
      </c>
    </row>
    <row r="58" customFormat="false" ht="15" hidden="false" customHeight="false" outlineLevel="0" collapsed="false">
      <c r="B58" s="6" t="s">
        <v>479</v>
      </c>
      <c r="I58" s="89" t="n">
        <f aca="false">Premissas!$I$214</f>
        <v>1</v>
      </c>
    </row>
    <row r="59" customFormat="false" ht="15" hidden="false" customHeight="false" outlineLevel="0" collapsed="false">
      <c r="B59" s="6" t="s">
        <v>480</v>
      </c>
      <c r="I59" s="84" t="n">
        <f aca="false">(Premissas!$I$216-Premissas!$I$215)/365</f>
        <v>0.904109589041096</v>
      </c>
    </row>
    <row r="61" customFormat="false" ht="15" hidden="false" customHeight="false" outlineLevel="0" collapsed="false">
      <c r="B61" s="4" t="s">
        <v>481</v>
      </c>
    </row>
    <row r="62" customFormat="false" ht="15" hidden="false" customHeight="false" outlineLevel="0" collapsed="false">
      <c r="B62" s="3" t="s">
        <v>482</v>
      </c>
      <c r="C62" s="44" t="n">
        <v>0.005</v>
      </c>
      <c r="D62" s="3" t="s">
        <v>483</v>
      </c>
      <c r="E62" s="44" t="n">
        <v>0.005</v>
      </c>
      <c r="F62" s="3" t="s">
        <v>484</v>
      </c>
      <c r="G62" s="8" t="n">
        <v>0.02</v>
      </c>
    </row>
    <row r="64" customFormat="false" ht="15" hidden="false" customHeight="false" outlineLevel="0" collapsed="false">
      <c r="C64" s="90" t="s">
        <v>485</v>
      </c>
      <c r="D64" s="91" t="n">
        <f aca="false">$I$57+(-2)*$E$62</f>
        <v>0.02</v>
      </c>
      <c r="E64" s="91" t="n">
        <f aca="false">$I$57+(-1)*$E$62</f>
        <v>0.025</v>
      </c>
      <c r="F64" s="91" t="n">
        <f aca="false">$I$57+(0)*$E$62</f>
        <v>0.03</v>
      </c>
      <c r="G64" s="91" t="n">
        <f aca="false">$I$57+(1)*$E$62</f>
        <v>0.035</v>
      </c>
      <c r="H64" s="91" t="n">
        <f aca="false">$I$57+(2)*$E$62</f>
        <v>0.04</v>
      </c>
    </row>
    <row r="65" customFormat="false" ht="15" hidden="false" customHeight="false" outlineLevel="0" collapsed="false">
      <c r="C65" s="92" t="n">
        <f aca="false">$I$56+(-2)*$C$62</f>
        <v>0.118743575</v>
      </c>
      <c r="D65" s="93" t="n">
        <f aca="false">((SUMPRODUCT($I$17:$M$17,1/(1+$C65)^$I$19:$M$19)+($N$17-$N$16-Premissas!$I$192*$N$6*D$64)*(1+D$64)/($C65-D$64)/(1+$C65)^$M$19+$I$29+$I$30)/$I$32)*(1+$I$51)-$I$35</f>
        <v>1007.11763842348</v>
      </c>
      <c r="E65" s="93" t="n">
        <f aca="false">((SUMPRODUCT($I$17:$M$17,1/(1+$C65)^$I$19:$M$19)+($N$17-$N$16-Premissas!$I$192*$N$6*E$64)*(1+E$64)/($C65-E$64)/(1+$C65)^$M$19+$I$29+$I$30)/$I$32)*(1+$I$51)-$I$35</f>
        <v>1033.61610531422</v>
      </c>
      <c r="F65" s="93" t="n">
        <f aca="false">((SUMPRODUCT($I$17:$M$17,1/(1+$C65)^$I$19:$M$19)+($N$17-$N$16-Premissas!$I$192*$N$6*F$64)*(1+F$64)/($C65-F$64)/(1+$C65)^$M$19+$I$29+$I$30)/$I$32)*(1+$I$51)-$I$35</f>
        <v>1063.09055530774</v>
      </c>
      <c r="G65" s="93" t="n">
        <f aca="false">((SUMPRODUCT($I$17:$M$17,1/(1+$C65)^$I$19:$M$19)+($N$17-$N$16-Premissas!$I$192*$N$6*G$64)*(1+G$64)/($C65-G$64)/(1+$C65)^$M$19+$I$29+$I$30)/$I$32)*(1+$I$51)-$I$35</f>
        <v>1096.07404119695</v>
      </c>
      <c r="H65" s="93" t="n">
        <f aca="false">((SUMPRODUCT($I$17:$M$17,1/(1+$C65)^$I$19:$M$19)+($N$17-$N$16-Premissas!$I$192*$N$6*H$64)*(1+H$64)/($C65-H$64)/(1+$C65)^$M$19+$I$29+$I$30)/$I$32)*(1+$I$51)-$I$35</f>
        <v>1133.23500530791</v>
      </c>
    </row>
    <row r="66" customFormat="false" ht="15" hidden="false" customHeight="false" outlineLevel="0" collapsed="false">
      <c r="C66" s="92" t="n">
        <f aca="false">$I$56+(-1)*$C$62</f>
        <v>0.123743575</v>
      </c>
      <c r="D66" s="93" t="n">
        <f aca="false">((SUMPRODUCT($I$17:$M$17,1/(1+$C66)^$I$19:$M$19)+($N$17-$N$16-Premissas!$I$192*$N$6*D$64)*(1+D$64)/($C66-D$64)/(1+$C66)^$M$19+$I$29+$I$30)/$I$32)*(1+$I$51)-$I$35</f>
        <v>971.592219680457</v>
      </c>
      <c r="E66" s="93" t="n">
        <f aca="false">((SUMPRODUCT($I$17:$M$17,1/(1+$C66)^$I$19:$M$19)+($N$17-$N$16-Premissas!$I$192*$N$6*E$64)*(1+E$64)/($C66-E$64)/(1+$C66)^$M$19+$I$29+$I$30)/$I$32)*(1+$I$51)-$I$35</f>
        <v>995.136132703104</v>
      </c>
      <c r="F66" s="93" t="n">
        <f aca="false">((SUMPRODUCT($I$17:$M$17,1/(1+$C66)^$I$19:$M$19)+($N$17-$N$16-Premissas!$I$192*$N$6*F$64)*(1+F$64)/($C66-F$64)/(1+$C66)^$M$19+$I$29+$I$30)/$I$32)*(1+$I$51)-$I$35</f>
        <v>1021.18230849903</v>
      </c>
      <c r="G66" s="93" t="n">
        <f aca="false">((SUMPRODUCT($I$17:$M$17,1/(1+$C66)^$I$19:$M$19)+($N$17-$N$16-Premissas!$I$192*$N$6*G$64)*(1+G$64)/($C66-G$64)/(1+$C66)^$M$19+$I$29+$I$30)/$I$32)*(1+$I$51)-$I$35</f>
        <v>1050.15369533912</v>
      </c>
      <c r="H66" s="93" t="n">
        <f aca="false">((SUMPRODUCT($I$17:$M$17,1/(1+$C66)^$I$19:$M$19)+($N$17-$N$16-Premissas!$I$192*$N$6*H$64)*(1+H$64)/($C66-H$64)/(1+$C66)^$M$19+$I$29+$I$30)/$I$32)*(1+$I$51)-$I$35</f>
        <v>1082.57425181557</v>
      </c>
    </row>
    <row r="67" customFormat="false" ht="15" hidden="false" customHeight="false" outlineLevel="0" collapsed="false">
      <c r="C67" s="92" t="n">
        <f aca="false">$I$56+(0)*$C$62</f>
        <v>0.128743575</v>
      </c>
      <c r="D67" s="93" t="n">
        <f aca="false">((SUMPRODUCT($I$17:$M$17,1/(1+$C67)^$I$19:$M$19)+($N$17-$N$16-Premissas!$I$192*$N$6*D$64)*(1+D$64)/($C67-D$64)/(1+$C67)^$M$19+$I$29+$I$30)/$I$32)*(1+$I$51)-$I$35</f>
        <v>939.215938017694</v>
      </c>
      <c r="E67" s="93" t="n">
        <f aca="false">((SUMPRODUCT($I$17:$M$17,1/(1+$C67)^$I$19:$M$19)+($N$17-$N$16-Premissas!$I$192*$N$6*E$64)*(1+E$64)/($C67-E$64)/(1+$C67)^$M$19+$I$29+$I$30)/$I$32)*(1+$I$51)-$I$35</f>
        <v>960.239001478823</v>
      </c>
      <c r="F67" s="94" t="n">
        <f aca="false">((SUMPRODUCT($I$17:$M$17,1/(1+$C67)^$I$19:$M$19)+($N$17-$N$16-Premissas!$I$192*$N$6*F$64)*(1+F$64)/($C67-F$64)/(1+$C67)^$M$19+$I$29+$I$30)/$I$32)*(1+$I$51)-$I$35</f>
        <v>983.382500322673</v>
      </c>
      <c r="G67" s="93" t="n">
        <f aca="false">((SUMPRODUCT($I$17:$M$17,1/(1+$C67)^$I$19:$M$19)+($N$17-$N$16-Premissas!$I$192*$N$6*G$64)*(1+G$64)/($C67-G$64)/(1+$C67)^$M$19+$I$29+$I$30)/$I$32)*(1+$I$51)-$I$35</f>
        <v>1008.98572746335</v>
      </c>
      <c r="H67" s="93" t="n">
        <f aca="false">((SUMPRODUCT($I$17:$M$17,1/(1+$C67)^$I$19:$M$19)+($N$17-$N$16-Premissas!$I$192*$N$6*H$64)*(1+H$64)/($C67-H$64)/(1+$C67)^$M$19+$I$29+$I$30)/$I$32)*(1+$I$51)-$I$35</f>
        <v>1037.46444172569</v>
      </c>
    </row>
    <row r="68" customFormat="false" ht="15" hidden="false" customHeight="false" outlineLevel="0" collapsed="false">
      <c r="C68" s="92" t="n">
        <f aca="false">$I$56+(1)*$C$62</f>
        <v>0.133743575</v>
      </c>
      <c r="D68" s="93" t="n">
        <f aca="false">((SUMPRODUCT($I$17:$M$17,1/(1+$C68)^$I$19:$M$19)+($N$17-$N$16-Premissas!$I$192*$N$6*D$64)*(1+D$64)/($C68-D$64)/(1+$C68)^$M$19+$I$29+$I$30)/$I$32)*(1+$I$51)-$I$35</f>
        <v>909.576049193576</v>
      </c>
      <c r="E68" s="93" t="n">
        <f aca="false">((SUMPRODUCT($I$17:$M$17,1/(1+$C68)^$I$19:$M$19)+($N$17-$N$16-Premissas!$I$192*$N$6*E$64)*(1+E$64)/($C68-E$64)/(1+$C68)^$M$19+$I$29+$I$30)/$I$32)*(1+$I$51)-$I$35</f>
        <v>928.43322537159</v>
      </c>
      <c r="F68" s="93" t="n">
        <f aca="false">((SUMPRODUCT($I$17:$M$17,1/(1+$C68)^$I$19:$M$19)+($N$17-$N$16-Premissas!$I$192*$N$6*F$64)*(1+F$64)/($C68-F$64)/(1+$C68)^$M$19+$I$29+$I$30)/$I$32)*(1+$I$51)-$I$35</f>
        <v>949.100025979221</v>
      </c>
      <c r="G68" s="93" t="n">
        <f aca="false">((SUMPRODUCT($I$17:$M$17,1/(1+$C68)^$I$19:$M$19)+($N$17-$N$16-Premissas!$I$192*$N$6*G$64)*(1+G$64)/($C68-G$64)/(1+$C68)^$M$19+$I$29+$I$30)/$I$32)*(1+$I$51)-$I$35</f>
        <v>971.851348562402</v>
      </c>
      <c r="H68" s="93" t="n">
        <f aca="false">((SUMPRODUCT($I$17:$M$17,1/(1+$C68)^$I$19:$M$19)+($N$17-$N$16-Premissas!$I$192*$N$6*H$64)*(1+H$64)/($C68-H$64)/(1+$C68)^$M$19+$I$29+$I$30)/$I$32)*(1+$I$51)-$I$35</f>
        <v>997.020739496267</v>
      </c>
    </row>
    <row r="69" customFormat="false" ht="15" hidden="false" customHeight="false" outlineLevel="0" collapsed="false">
      <c r="C69" s="92" t="n">
        <f aca="false">$I$56+(2)*$C$62</f>
        <v>0.138743575</v>
      </c>
      <c r="D69" s="93" t="n">
        <f aca="false">((SUMPRODUCT($I$17:$M$17,1/(1+$C69)^$I$19:$M$19)+($N$17-$N$16-Premissas!$I$192*$N$6*D$64)*(1+D$64)/($C69-D$64)/(1+$C69)^$M$19+$I$29+$I$30)/$I$32)*(1+$I$51)-$I$35</f>
        <v>882.32925669357</v>
      </c>
      <c r="E69" s="93" t="n">
        <f aca="false">((SUMPRODUCT($I$17:$M$17,1/(1+$C69)^$I$19:$M$19)+($N$17-$N$16-Premissas!$I$192*$N$6*E$64)*(1+E$64)/($C69-E$64)/(1+$C69)^$M$19+$I$29+$I$30)/$I$32)*(1+$I$51)-$I$35</f>
        <v>899.313662595952</v>
      </c>
      <c r="F69" s="93" t="n">
        <f aca="false">((SUMPRODUCT($I$17:$M$17,1/(1+$C69)^$I$19:$M$19)+($N$17-$N$16-Premissas!$I$192*$N$6*F$64)*(1+F$64)/($C69-F$64)/(1+$C69)^$M$19+$I$29+$I$30)/$I$32)*(1+$I$51)-$I$35</f>
        <v>917.852415307436</v>
      </c>
      <c r="G69" s="93" t="n">
        <f aca="false">((SUMPRODUCT($I$17:$M$17,1/(1+$C69)^$I$19:$M$19)+($N$17-$N$16-Premissas!$I$192*$N$6*G$64)*(1+G$64)/($C69-G$64)/(1+$C69)^$M$19+$I$29+$I$30)/$I$32)*(1+$I$51)-$I$35</f>
        <v>938.170253585449</v>
      </c>
      <c r="H69" s="93" t="n">
        <f aca="false">((SUMPRODUCT($I$17:$M$17,1/(1+$C69)^$I$19:$M$19)+($N$17-$N$16-Premissas!$I$192*$N$6*H$64)*(1+H$64)/($C69-H$64)/(1+$C69)^$M$19+$I$29+$I$30)/$I$32)*(1+$I$51)-$I$35</f>
        <v>960.537435859442</v>
      </c>
    </row>
    <row r="71" customFormat="false" ht="15" hidden="false" customHeight="false" outlineLevel="0" collapsed="false">
      <c r="B71" s="3" t="s">
        <v>486</v>
      </c>
      <c r="C71" s="38" t="n">
        <f aca="false">F67-I36</f>
        <v>0</v>
      </c>
      <c r="D71" s="5" t="str">
        <f aca="false">IF(ABS(C71)&lt;0.01,"ok","ERRO")</f>
        <v>ok</v>
      </c>
    </row>
    <row r="73" customFormat="false" ht="15" hidden="false" customHeight="false" outlineLevel="0" collapsed="false">
      <c r="B73" s="4" t="s">
        <v>487</v>
      </c>
    </row>
    <row r="74" customFormat="false" ht="15" hidden="false" customHeight="false" outlineLevel="0" collapsed="false">
      <c r="C74" s="90" t="s">
        <v>488</v>
      </c>
      <c r="D74" s="91" t="n">
        <f aca="false">$N$7+(-2)*$G$62</f>
        <v>0.58</v>
      </c>
      <c r="E74" s="91" t="n">
        <f aca="false">$N$7+(-1)*$G$62</f>
        <v>0.6</v>
      </c>
      <c r="F74" s="91" t="n">
        <f aca="false">$N$7+(0)*$G$62</f>
        <v>0.62</v>
      </c>
      <c r="G74" s="91" t="n">
        <f aca="false">$N$7+(1)*$G$62</f>
        <v>0.64</v>
      </c>
      <c r="H74" s="91" t="n">
        <f aca="false">$N$7+(2)*$G$62</f>
        <v>0.66</v>
      </c>
    </row>
    <row r="75" customFormat="false" ht="15" hidden="false" customHeight="false" outlineLevel="0" collapsed="false">
      <c r="C75" s="92" t="n">
        <f aca="false">$I$56+(-2)*$C$62</f>
        <v>0.118743575</v>
      </c>
      <c r="D75" s="93" t="n">
        <f aca="false">((SUMPRODUCT($I$17:$M$17,1/(1+$C75)^$I$19:$M$19)+(($N$6*D$74+$N$9)*(1-$N$12)+$N$14+$N$15+$N$16)*(1+$I$57)/($C75-$I$57)/(1+$C75)^$M$19+$I$29+$I$30)/$I$32)*(1+$I$51)-$I$35</f>
        <v>1016.78416577298</v>
      </c>
      <c r="E75" s="93" t="n">
        <f aca="false">((SUMPRODUCT($I$17:$M$17,1/(1+$C75)^$I$19:$M$19)+(($N$6*E$74+$N$9)*(1-$N$12)+$N$14+$N$15+$N$16)*(1+$I$57)/($C75-$I$57)/(1+$C75)^$M$19+$I$29+$I$30)/$I$32)*(1+$I$51)-$I$35</f>
        <v>1039.93736054036</v>
      </c>
      <c r="F75" s="93" t="n">
        <f aca="false">((SUMPRODUCT($I$17:$M$17,1/(1+$C75)^$I$19:$M$19)+(($N$6*F$74+$N$9)*(1-$N$12)+$N$14+$N$15+$N$16)*(1+$I$57)/($C75-$I$57)/(1+$C75)^$M$19+$I$29+$I$30)/$I$32)*(1+$I$51)-$I$35</f>
        <v>1063.09055530774</v>
      </c>
      <c r="G75" s="93" t="n">
        <f aca="false">((SUMPRODUCT($I$17:$M$17,1/(1+$C75)^$I$19:$M$19)+(($N$6*G$74+$N$9)*(1-$N$12)+$N$14+$N$15+$N$16)*(1+$I$57)/($C75-$I$57)/(1+$C75)^$M$19+$I$29+$I$30)/$I$32)*(1+$I$51)-$I$35</f>
        <v>1086.24375007512</v>
      </c>
      <c r="H75" s="93" t="n">
        <f aca="false">((SUMPRODUCT($I$17:$M$17,1/(1+$C75)^$I$19:$M$19)+(($N$6*H$74+$N$9)*(1-$N$12)+$N$14+$N$15+$N$16)*(1+$I$57)/($C75-$I$57)/(1+$C75)^$M$19+$I$29+$I$30)/$I$32)*(1+$I$51)-$I$35</f>
        <v>1109.3969448425</v>
      </c>
    </row>
    <row r="76" customFormat="false" ht="15" hidden="false" customHeight="false" outlineLevel="0" collapsed="false">
      <c r="C76" s="92" t="n">
        <f aca="false">$I$56+(-1)*$C$62</f>
        <v>0.123743575</v>
      </c>
      <c r="D76" s="93" t="n">
        <f aca="false">((SUMPRODUCT($I$17:$M$17,1/(1+$C76)^$I$19:$M$19)+(($N$6*D$74+$N$9)*(1-$N$12)+$N$14+$N$15+$N$16)*(1+$I$57)/($C76-$I$57)/(1+$C76)^$M$19+$I$29+$I$30)/$I$32)*(1+$I$51)-$I$35</f>
        <v>978.198288146375</v>
      </c>
      <c r="E76" s="93" t="n">
        <f aca="false">((SUMPRODUCT($I$17:$M$17,1/(1+$C76)^$I$19:$M$19)+(($N$6*E$74+$N$9)*(1-$N$12)+$N$14+$N$15+$N$16)*(1+$I$57)/($C76-$I$57)/(1+$C76)^$M$19+$I$29+$I$30)/$I$32)*(1+$I$51)-$I$35</f>
        <v>999.690298322701</v>
      </c>
      <c r="F76" s="93" t="n">
        <f aca="false">((SUMPRODUCT($I$17:$M$17,1/(1+$C76)^$I$19:$M$19)+(($N$6*F$74+$N$9)*(1-$N$12)+$N$14+$N$15+$N$16)*(1+$I$57)/($C76-$I$57)/(1+$C76)^$M$19+$I$29+$I$30)/$I$32)*(1+$I$51)-$I$35</f>
        <v>1021.18230849903</v>
      </c>
      <c r="G76" s="93" t="n">
        <f aca="false">((SUMPRODUCT($I$17:$M$17,1/(1+$C76)^$I$19:$M$19)+(($N$6*G$74+$N$9)*(1-$N$12)+$N$14+$N$15+$N$16)*(1+$I$57)/($C76-$I$57)/(1+$C76)^$M$19+$I$29+$I$30)/$I$32)*(1+$I$51)-$I$35</f>
        <v>1042.67431867535</v>
      </c>
      <c r="H76" s="93" t="n">
        <f aca="false">((SUMPRODUCT($I$17:$M$17,1/(1+$C76)^$I$19:$M$19)+(($N$6*H$74+$N$9)*(1-$N$12)+$N$14+$N$15+$N$16)*(1+$I$57)/($C76-$I$57)/(1+$C76)^$M$19+$I$29+$I$30)/$I$32)*(1+$I$51)-$I$35</f>
        <v>1064.16632885168</v>
      </c>
    </row>
    <row r="77" customFormat="false" ht="15" hidden="false" customHeight="false" outlineLevel="0" collapsed="false">
      <c r="C77" s="92" t="n">
        <f aca="false">$I$56+(0)*$C$62</f>
        <v>0.128743575</v>
      </c>
      <c r="D77" s="93" t="n">
        <f aca="false">((SUMPRODUCT($I$17:$M$17,1/(1+$C77)^$I$19:$M$19)+(($N$6*D$74+$N$9)*(1-$N$12)+$N$14+$N$15+$N$16)*(1+$I$57)/($C77-$I$57)/(1+$C77)^$M$19+$I$29+$I$30)/$I$32)*(1+$I$51)-$I$35</f>
        <v>943.365155599189</v>
      </c>
      <c r="E77" s="93" t="n">
        <f aca="false">((SUMPRODUCT($I$17:$M$17,1/(1+$C77)^$I$19:$M$19)+(($N$6*E$74+$N$9)*(1-$N$12)+$N$14+$N$15+$N$16)*(1+$I$57)/($C77-$I$57)/(1+$C77)^$M$19+$I$29+$I$30)/$I$32)*(1+$I$51)-$I$35</f>
        <v>963.373827960931</v>
      </c>
      <c r="F77" s="94" t="n">
        <f aca="false">((SUMPRODUCT($I$17:$M$17,1/(1+$C77)^$I$19:$M$19)+(($N$6*F$74+$N$9)*(1-$N$12)+$N$14+$N$15+$N$16)*(1+$I$57)/($C77-$I$57)/(1+$C77)^$M$19+$I$29+$I$30)/$I$32)*(1+$I$51)-$I$35</f>
        <v>983.382500322673</v>
      </c>
      <c r="G77" s="93" t="n">
        <f aca="false">((SUMPRODUCT($I$17:$M$17,1/(1+$C77)^$I$19:$M$19)+(($N$6*G$74+$N$9)*(1-$N$12)+$N$14+$N$15+$N$16)*(1+$I$57)/($C77-$I$57)/(1+$C77)^$M$19+$I$29+$I$30)/$I$32)*(1+$I$51)-$I$35</f>
        <v>1003.39117268442</v>
      </c>
      <c r="H77" s="93" t="n">
        <f aca="false">((SUMPRODUCT($I$17:$M$17,1/(1+$C77)^$I$19:$M$19)+(($N$6*H$74+$N$9)*(1-$N$12)+$N$14+$N$15+$N$16)*(1+$I$57)/($C77-$I$57)/(1+$C77)^$M$19+$I$29+$I$30)/$I$32)*(1+$I$51)-$I$35</f>
        <v>1023.39984504616</v>
      </c>
    </row>
    <row r="78" customFormat="false" ht="15" hidden="false" customHeight="false" outlineLevel="0" collapsed="false">
      <c r="C78" s="92" t="n">
        <f aca="false">$I$56+(1)*$C$62</f>
        <v>0.133743575</v>
      </c>
      <c r="D78" s="93" t="n">
        <f aca="false">((SUMPRODUCT($I$17:$M$17,1/(1+$C78)^$I$19:$M$19)+(($N$6*D$74+$N$9)*(1-$N$12)+$N$14+$N$15+$N$16)*(1+$I$57)/($C78-$I$57)/(1+$C78)^$M$19+$I$29+$I$30)/$I$32)*(1+$I$51)-$I$35</f>
        <v>911.745605138207</v>
      </c>
      <c r="E78" s="93" t="n">
        <f aca="false">((SUMPRODUCT($I$17:$M$17,1/(1+$C78)^$I$19:$M$19)+(($N$6*E$74+$N$9)*(1-$N$12)+$N$14+$N$15+$N$16)*(1+$I$57)/($C78-$I$57)/(1+$C78)^$M$19+$I$29+$I$30)/$I$32)*(1+$I$51)-$I$35</f>
        <v>930.422815558714</v>
      </c>
      <c r="F78" s="93" t="n">
        <f aca="false">((SUMPRODUCT($I$17:$M$17,1/(1+$C78)^$I$19:$M$19)+(($N$6*F$74+$N$9)*(1-$N$12)+$N$14+$N$15+$N$16)*(1+$I$57)/($C78-$I$57)/(1+$C78)^$M$19+$I$29+$I$30)/$I$32)*(1+$I$51)-$I$35</f>
        <v>949.100025979221</v>
      </c>
      <c r="G78" s="93" t="n">
        <f aca="false">((SUMPRODUCT($I$17:$M$17,1/(1+$C78)^$I$19:$M$19)+(($N$6*G$74+$N$9)*(1-$N$12)+$N$14+$N$15+$N$16)*(1+$I$57)/($C78-$I$57)/(1+$C78)^$M$19+$I$29+$I$30)/$I$32)*(1+$I$51)-$I$35</f>
        <v>967.777236399727</v>
      </c>
      <c r="H78" s="93" t="n">
        <f aca="false">((SUMPRODUCT($I$17:$M$17,1/(1+$C78)^$I$19:$M$19)+(($N$6*H$74+$N$9)*(1-$N$12)+$N$14+$N$15+$N$16)*(1+$I$57)/($C78-$I$57)/(1+$C78)^$M$19+$I$29+$I$30)/$I$32)*(1+$I$51)-$I$35</f>
        <v>986.454446820234</v>
      </c>
    </row>
    <row r="79" customFormat="false" ht="15" hidden="false" customHeight="false" outlineLevel="0" collapsed="false">
      <c r="C79" s="92" t="n">
        <f aca="false">$I$56+(2)*$C$62</f>
        <v>0.138743575</v>
      </c>
      <c r="D79" s="93" t="n">
        <f aca="false">((SUMPRODUCT($I$17:$M$17,1/(1+$C79)^$I$19:$M$19)+(($N$6*D$74+$N$9)*(1-$N$12)+$N$14+$N$15+$N$16)*(1+$I$57)/($C79-$I$57)/(1+$C79)^$M$19+$I$29+$I$30)/$I$32)*(1+$I$51)-$I$35</f>
        <v>882.899539534448</v>
      </c>
      <c r="E79" s="93" t="n">
        <f aca="false">((SUMPRODUCT($I$17:$M$17,1/(1+$C79)^$I$19:$M$19)+(($N$6*E$74+$N$9)*(1-$N$12)+$N$14+$N$15+$N$16)*(1+$I$57)/($C79-$I$57)/(1+$C79)^$M$19+$I$29+$I$30)/$I$32)*(1+$I$51)-$I$35</f>
        <v>900.375977420942</v>
      </c>
      <c r="F79" s="93" t="n">
        <f aca="false">((SUMPRODUCT($I$17:$M$17,1/(1+$C79)^$I$19:$M$19)+(($N$6*F$74+$N$9)*(1-$N$12)+$N$14+$N$15+$N$16)*(1+$I$57)/($C79-$I$57)/(1+$C79)^$M$19+$I$29+$I$30)/$I$32)*(1+$I$51)-$I$35</f>
        <v>917.852415307436</v>
      </c>
      <c r="G79" s="93" t="n">
        <f aca="false">((SUMPRODUCT($I$17:$M$17,1/(1+$C79)^$I$19:$M$19)+(($N$6*G$74+$N$9)*(1-$N$12)+$N$14+$N$15+$N$16)*(1+$I$57)/($C79-$I$57)/(1+$C79)^$M$19+$I$29+$I$30)/$I$32)*(1+$I$51)-$I$35</f>
        <v>935.328853193931</v>
      </c>
      <c r="H79" s="93" t="n">
        <f aca="false">((SUMPRODUCT($I$17:$M$17,1/(1+$C79)^$I$19:$M$19)+(($N$6*H$74+$N$9)*(1-$N$12)+$N$14+$N$15+$N$16)*(1+$I$57)/($C79-$I$57)/(1+$C79)^$M$19+$I$29+$I$30)/$I$32)*(1+$I$51)-$I$35</f>
        <v>952.805291080425</v>
      </c>
    </row>
    <row r="81" customFormat="false" ht="15" hidden="false" customHeight="false" outlineLevel="0" collapsed="false">
      <c r="B81" s="3" t="s">
        <v>486</v>
      </c>
      <c r="C81" s="38" t="n">
        <f aca="false">F77-I36</f>
        <v>0</v>
      </c>
      <c r="D81" s="5" t="str">
        <f aca="false">IF(ABS(C81)&lt;0.01,"ok","ERRO")</f>
        <v>ok</v>
      </c>
    </row>
    <row r="82" customFormat="false" ht="15" hidden="false" customHeight="false" outlineLevel="0" collapsed="false">
      <c r="B82" s="3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4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6" min="4" style="1" width="11"/>
    <col collapsed="false" customWidth="true" hidden="false" outlineLevel="0" max="12" min="7" style="1" width="13"/>
  </cols>
  <sheetData>
    <row r="1" customFormat="false" ht="15" hidden="false" customHeight="false" outlineLevel="0" collapsed="false">
      <c r="B1" s="2" t="s">
        <v>490</v>
      </c>
    </row>
    <row r="2" customFormat="false" ht="15" hidden="false" customHeight="false" outlineLevel="0" collapsed="false">
      <c r="B2" s="3" t="s">
        <v>491</v>
      </c>
    </row>
    <row r="4" customFormat="false" ht="15" hidden="false" customHeight="false" outlineLevel="0" collapsed="false">
      <c r="B4" s="20" t="s">
        <v>27</v>
      </c>
      <c r="C4" s="21"/>
      <c r="D4" s="22" t="s">
        <v>30</v>
      </c>
      <c r="E4" s="22" t="s">
        <v>31</v>
      </c>
      <c r="F4" s="22" t="s">
        <v>32</v>
      </c>
    </row>
    <row r="5" customFormat="false" ht="15" hidden="false" customHeight="false" outlineLevel="0" collapsed="false">
      <c r="B5" s="6" t="s">
        <v>492</v>
      </c>
      <c r="D5" s="76" t="n">
        <f aca="false">Premissas!$I$224</f>
        <v>1045.56</v>
      </c>
    </row>
    <row r="6" customFormat="false" ht="15" hidden="false" customHeight="false" outlineLevel="0" collapsed="false">
      <c r="B6" s="6" t="s">
        <v>457</v>
      </c>
      <c r="D6" s="25" t="n">
        <f aca="false">Premissas!$I$226</f>
        <v>1147</v>
      </c>
    </row>
    <row r="7" customFormat="false" ht="15" hidden="false" customHeight="false" outlineLevel="0" collapsed="false">
      <c r="B7" s="3" t="s">
        <v>493</v>
      </c>
      <c r="D7" s="63" t="n">
        <f aca="false">Premissas!$I$227</f>
        <v>1129.39</v>
      </c>
    </row>
    <row r="8" customFormat="false" ht="15" hidden="false" customHeight="false" outlineLevel="0" collapsed="false">
      <c r="B8" s="5" t="s">
        <v>494</v>
      </c>
      <c r="D8" s="67" t="n">
        <f aca="false">D5*D6</f>
        <v>1199257.32</v>
      </c>
    </row>
    <row r="9" customFormat="false" ht="15" hidden="false" customHeight="false" outlineLevel="0" collapsed="false">
      <c r="B9" s="6" t="s">
        <v>495</v>
      </c>
      <c r="D9" s="25" t="n">
        <f aca="false">BP!$H$5</f>
        <v>73453</v>
      </c>
    </row>
    <row r="10" customFormat="false" ht="15" hidden="false" customHeight="false" outlineLevel="0" collapsed="false">
      <c r="B10" s="6" t="s">
        <v>496</v>
      </c>
      <c r="D10" s="66" t="n">
        <f aca="false">BP!$H$19+BP!$H$22</f>
        <v>5179</v>
      </c>
    </row>
    <row r="11" customFormat="false" ht="15" hidden="false" customHeight="false" outlineLevel="0" collapsed="false">
      <c r="B11" s="6" t="s">
        <v>497</v>
      </c>
      <c r="D11" s="25" t="n">
        <f aca="false">BP!$H$23</f>
        <v>12895</v>
      </c>
    </row>
    <row r="12" customFormat="false" ht="15" hidden="false" customHeight="false" outlineLevel="0" collapsed="false">
      <c r="B12" s="5" t="s">
        <v>498</v>
      </c>
      <c r="C12" s="3" t="s">
        <v>499</v>
      </c>
      <c r="D12" s="67" t="n">
        <f aca="false">D8-D9+D10+D11</f>
        <v>1143878.32</v>
      </c>
    </row>
    <row r="13" customFormat="false" ht="15" hidden="false" customHeight="false" outlineLevel="0" collapsed="false">
      <c r="B13" s="3" t="s">
        <v>500</v>
      </c>
      <c r="D13" s="28" t="n">
        <f aca="false">D9-D10</f>
        <v>68274</v>
      </c>
    </row>
    <row r="14" customFormat="false" ht="15" hidden="false" customHeight="false" outlineLevel="0" collapsed="false">
      <c r="B14" s="3" t="s">
        <v>501</v>
      </c>
      <c r="D14" s="38" t="n">
        <f aca="false">D13/D6</f>
        <v>59.5239755884917</v>
      </c>
    </row>
    <row r="16" customFormat="false" ht="15" hidden="false" customHeight="false" outlineLevel="0" collapsed="false">
      <c r="B16" s="4" t="s">
        <v>502</v>
      </c>
    </row>
    <row r="17" customFormat="false" ht="15" hidden="false" customHeight="false" outlineLevel="0" collapsed="false">
      <c r="B17" s="6" t="s">
        <v>503</v>
      </c>
      <c r="D17" s="30" t="n">
        <f aca="false">$D$12/DRE!H5</f>
        <v>8.58844880920203</v>
      </c>
      <c r="E17" s="30" t="n">
        <f aca="false">$D$12/DRE!I5</f>
        <v>4.19259033977767</v>
      </c>
      <c r="F17" s="30" t="n">
        <f aca="false">$D$12/DRE!J5</f>
        <v>3.80624615938344</v>
      </c>
    </row>
    <row r="18" customFormat="false" ht="15" hidden="false" customHeight="false" outlineLevel="0" collapsed="false">
      <c r="B18" s="6" t="s">
        <v>504</v>
      </c>
      <c r="D18" s="30" t="n">
        <f aca="false">IF(DRE!H16&lt;=0,"n.m.",$D$12/DRE!H16)</f>
        <v>10.5094339553302</v>
      </c>
      <c r="E18" s="30" t="n">
        <f aca="false">IF(DRE!I16&lt;=0,"n.m.",$D$12/DRE!I16)</f>
        <v>4.77778860338054</v>
      </c>
      <c r="F18" s="30" t="n">
        <f aca="false">IF(DRE!J16&lt;=0,"n.m.",$D$12/DRE!J16)</f>
        <v>4.31902096606664</v>
      </c>
    </row>
    <row r="19" customFormat="false" ht="15" hidden="false" customHeight="false" outlineLevel="0" collapsed="false">
      <c r="B19" s="6" t="s">
        <v>505</v>
      </c>
      <c r="D19" s="30" t="n">
        <f aca="false">IF(DRE!H31&lt;=0,"n.m.",$D$5/DRE!H31)</f>
        <v>14.0664603793892</v>
      </c>
      <c r="E19" s="30" t="n">
        <f aca="false">IF(DRE!I31&lt;=0,"n.m.",$D$5/DRE!I31)</f>
        <v>5.86904856214419</v>
      </c>
      <c r="F19" s="30" t="n">
        <f aca="false">IF(DRE!J31&lt;=0,"n.m.",$D$5/DRE!J31)</f>
        <v>4.70979782319921</v>
      </c>
    </row>
    <row r="20" customFormat="false" ht="15" hidden="false" customHeight="false" outlineLevel="0" collapsed="false">
      <c r="B20" s="6" t="s">
        <v>506</v>
      </c>
      <c r="D20" s="30" t="n">
        <f aca="false">IF(DRE!H39&lt;=0,"n.m.",$D$5/DRE!H39)</f>
        <v>13.8448093220339</v>
      </c>
      <c r="E20" s="30" t="n">
        <f aca="false">IF(DRE!I39&lt;=0,"n.m.",$D$5/DRE!I39)</f>
        <v>5.81863592720356</v>
      </c>
      <c r="F20" s="30" t="n">
        <f aca="false">IF(DRE!J39&lt;=0,"n.m.",$D$5/DRE!J39)</f>
        <v>4.66732010516462</v>
      </c>
    </row>
    <row r="21" customFormat="false" ht="15" hidden="false" customHeight="false" outlineLevel="0" collapsed="false">
      <c r="B21" s="6" t="s">
        <v>507</v>
      </c>
      <c r="D21" s="30" t="n">
        <f aca="false">$D$8/BP!H26</f>
        <v>8.66653167411005</v>
      </c>
      <c r="E21" s="30" t="n">
        <f aca="false">$D$8/BP!I26</f>
        <v>5.9501688189575</v>
      </c>
      <c r="F21" s="30" t="n">
        <f aca="false">$D$8/BP!J26</f>
        <v>5.50700751065075</v>
      </c>
    </row>
    <row r="22" customFormat="false" ht="15" hidden="false" customHeight="false" outlineLevel="0" collapsed="false">
      <c r="B22" s="6" t="s">
        <v>508</v>
      </c>
      <c r="D22" s="59" t="n">
        <f aca="false">FC!H23/$D$8</f>
        <v>0.0519529870370105</v>
      </c>
      <c r="E22" s="59" t="n">
        <f aca="false">FC!I23/$D$8</f>
        <v>0.118985751420573</v>
      </c>
      <c r="F22" s="59" t="n">
        <f aca="false">FC!J23/$D$8</f>
        <v>0.143206027208611</v>
      </c>
    </row>
    <row r="23" customFormat="false" ht="15" hidden="false" customHeight="false" outlineLevel="0" collapsed="false">
      <c r="B23" s="6" t="s">
        <v>60</v>
      </c>
      <c r="D23" s="31" t="n">
        <f aca="false">DRE!H42/$D$5</f>
        <v>0.000506905390412793</v>
      </c>
      <c r="E23" s="31" t="n">
        <f aca="false">DRE!I42/$D$5</f>
        <v>0.000669115115344887</v>
      </c>
      <c r="F23" s="31" t="n">
        <f aca="false">DRE!J42/$D$5</f>
        <v>0.000863158498794904</v>
      </c>
    </row>
    <row r="25" customFormat="false" ht="15" hidden="false" customHeight="false" outlineLevel="0" collapsed="false">
      <c r="B25" s="4" t="s">
        <v>509</v>
      </c>
    </row>
    <row r="26" customFormat="false" ht="15" hidden="false" customHeight="false" outlineLevel="0" collapsed="false">
      <c r="B26" s="32" t="s">
        <v>510</v>
      </c>
      <c r="C26" s="32" t="s">
        <v>511</v>
      </c>
      <c r="D26" s="22" t="s">
        <v>512</v>
      </c>
      <c r="E26" s="22" t="s">
        <v>19</v>
      </c>
      <c r="F26" s="22" t="s">
        <v>513</v>
      </c>
      <c r="G26" s="22" t="s">
        <v>514</v>
      </c>
      <c r="H26" s="22" t="s">
        <v>515</v>
      </c>
      <c r="I26" s="22" t="s">
        <v>516</v>
      </c>
      <c r="J26" s="22" t="s">
        <v>517</v>
      </c>
      <c r="K26" s="22" t="s">
        <v>507</v>
      </c>
      <c r="L26" s="22" t="s">
        <v>518</v>
      </c>
    </row>
    <row r="27" customFormat="false" ht="15" hidden="false" customHeight="false" outlineLevel="0" collapsed="false">
      <c r="B27" s="6" t="s">
        <v>519</v>
      </c>
      <c r="C27" s="3" t="s">
        <v>520</v>
      </c>
      <c r="D27" s="52" t="n">
        <v>272000</v>
      </c>
      <c r="E27" s="95" t="n">
        <v>1291.5</v>
      </c>
      <c r="F27" s="29" t="s">
        <v>229</v>
      </c>
      <c r="G27" s="96" t="n">
        <v>5.3</v>
      </c>
      <c r="H27" s="96" t="n">
        <v>12.23</v>
      </c>
      <c r="I27" s="29" t="s">
        <v>229</v>
      </c>
      <c r="J27" s="29" t="s">
        <v>229</v>
      </c>
      <c r="K27" s="96" t="n">
        <v>3</v>
      </c>
    </row>
    <row r="28" customFormat="false" ht="15" hidden="false" customHeight="false" outlineLevel="0" collapsed="false">
      <c r="B28" s="6" t="s">
        <v>521</v>
      </c>
      <c r="C28" s="3" t="s">
        <v>522</v>
      </c>
      <c r="D28" s="52" t="n">
        <v>1773000</v>
      </c>
      <c r="E28" s="95" t="n">
        <v>966.3</v>
      </c>
      <c r="F28" s="95" t="n">
        <v>951.1</v>
      </c>
      <c r="G28" s="96" t="n">
        <v>4.88</v>
      </c>
      <c r="H28" s="29" t="s">
        <v>229</v>
      </c>
      <c r="I28" s="29" t="s">
        <v>229</v>
      </c>
      <c r="J28" s="96" t="n">
        <v>8.86</v>
      </c>
      <c r="K28" s="96" t="n">
        <v>5.1</v>
      </c>
    </row>
    <row r="29" customFormat="false" ht="15" hidden="false" customHeight="false" outlineLevel="0" collapsed="false">
      <c r="B29" s="6" t="s">
        <v>523</v>
      </c>
      <c r="C29" s="3" t="s">
        <v>524</v>
      </c>
      <c r="D29" s="52" t="n">
        <v>18735</v>
      </c>
      <c r="E29" s="95" t="n">
        <v>195</v>
      </c>
      <c r="F29" s="29" t="s">
        <v>229</v>
      </c>
      <c r="G29" s="96" t="n">
        <v>4.34</v>
      </c>
      <c r="H29" s="96" t="n">
        <v>17.74</v>
      </c>
      <c r="I29" s="29" t="s">
        <v>229</v>
      </c>
      <c r="J29" s="96" t="n">
        <v>13.23</v>
      </c>
      <c r="K29" s="96" t="n">
        <v>13.21</v>
      </c>
    </row>
    <row r="30" customFormat="false" ht="15" hidden="false" customHeight="false" outlineLevel="0" collapsed="false">
      <c r="B30" s="6" t="s">
        <v>525</v>
      </c>
      <c r="C30" s="3" t="s">
        <v>526</v>
      </c>
      <c r="D30" s="52" t="n">
        <v>1660.46</v>
      </c>
      <c r="E30" s="95" t="n">
        <v>243.12</v>
      </c>
      <c r="F30" s="95" t="n">
        <v>244.36</v>
      </c>
      <c r="G30" s="96" t="n">
        <v>7.97</v>
      </c>
      <c r="H30" s="96" t="n">
        <v>24.63</v>
      </c>
      <c r="I30" s="96" t="n">
        <v>5.58</v>
      </c>
      <c r="J30" s="96" t="n">
        <v>19.27</v>
      </c>
      <c r="K30" s="29" t="s">
        <v>229</v>
      </c>
    </row>
    <row r="31" customFormat="false" ht="15" hidden="false" customHeight="false" outlineLevel="0" collapsed="false">
      <c r="B31" s="5" t="s">
        <v>527</v>
      </c>
      <c r="E31" s="97" t="n">
        <f aca="false">IF(COUNT(E27:E30)&lt;3,"n.d.",AVERAGE(E27:E30))</f>
        <v>673.98</v>
      </c>
      <c r="F31" s="97" t="str">
        <f aca="false">IF(COUNT(F27:F30)&lt;3,"n.d.",AVERAGE(F27:F30))</f>
        <v>n.d.</v>
      </c>
      <c r="G31" s="98" t="n">
        <f aca="false">IF(COUNT(G27:G30)&lt;3,"n.d.",AVERAGE(G27:G30))</f>
        <v>5.6225</v>
      </c>
      <c r="H31" s="98" t="n">
        <f aca="false">IF(COUNT(H27:H30)&lt;3,"n.d.",AVERAGE(H27:H30))</f>
        <v>18.2</v>
      </c>
      <c r="I31" s="98" t="str">
        <f aca="false">IF(COUNT(I27:I30)&lt;3,"n.d.",AVERAGE(I27:I30))</f>
        <v>n.d.</v>
      </c>
      <c r="J31" s="98" t="n">
        <f aca="false">IF(COUNT(J27:J30)&lt;3,"n.d.",AVERAGE(J27:J30))</f>
        <v>13.7866666666667</v>
      </c>
      <c r="K31" s="98" t="n">
        <f aca="false">IF(COUNT(K27:K30)&lt;3,"n.d.",AVERAGE(K27:K30))</f>
        <v>7.10333333333333</v>
      </c>
      <c r="L31" s="72" t="n">
        <f aca="false">COUNT(G27:G30)</f>
        <v>4</v>
      </c>
    </row>
    <row r="32" customFormat="false" ht="15" hidden="false" customHeight="false" outlineLevel="0" collapsed="false">
      <c r="B32" s="5" t="s">
        <v>528</v>
      </c>
      <c r="E32" s="97" t="n">
        <f aca="false">IF(COUNT(E27:E30)&lt;3,"n.d.",MEDIAN(E27:E30))</f>
        <v>604.71</v>
      </c>
      <c r="F32" s="97" t="str">
        <f aca="false">IF(COUNT(F27:F30)&lt;3,"n.d.",MEDIAN(F27:F30))</f>
        <v>n.d.</v>
      </c>
      <c r="G32" s="98" t="n">
        <f aca="false">IF(COUNT(G27:G30)&lt;3,"n.d.",MEDIAN(G27:G30))</f>
        <v>5.09</v>
      </c>
      <c r="H32" s="98" t="n">
        <f aca="false">IF(COUNT(H27:H30)&lt;3,"n.d.",MEDIAN(H27:H30))</f>
        <v>17.74</v>
      </c>
      <c r="I32" s="98" t="str">
        <f aca="false">IF(COUNT(I27:I30)&lt;3,"n.d.",MEDIAN(I27:I30))</f>
        <v>n.d.</v>
      </c>
      <c r="J32" s="98" t="n">
        <f aca="false">IF(COUNT(J27:J30)&lt;3,"n.d.",MEDIAN(J27:J30))</f>
        <v>13.23</v>
      </c>
      <c r="K32" s="98" t="n">
        <f aca="false">IF(COUNT(K27:K30)&lt;3,"n.d.",MEDIAN(K27:K30))</f>
        <v>5.1</v>
      </c>
      <c r="L32" s="72" t="n">
        <f aca="false">COUNT(I27:I30)</f>
        <v>1</v>
      </c>
    </row>
    <row r="33" customFormat="false" ht="15" hidden="false" customHeight="false" outlineLevel="0" collapsed="false">
      <c r="B33" s="5" t="s">
        <v>529</v>
      </c>
      <c r="C33" s="3" t="s">
        <v>530</v>
      </c>
      <c r="D33" s="93" t="n">
        <f aca="false">D5</f>
        <v>1045.56</v>
      </c>
      <c r="E33" s="99" t="n">
        <f aca="false">D8/1000</f>
        <v>1199.25732</v>
      </c>
      <c r="F33" s="99" t="n">
        <f aca="false">D12/1000</f>
        <v>1143.87832</v>
      </c>
      <c r="G33" s="30" t="n">
        <f aca="false">E20</f>
        <v>5.81863592720356</v>
      </c>
      <c r="H33" s="30" t="n">
        <f aca="false">D20</f>
        <v>13.8448093220339</v>
      </c>
      <c r="I33" s="30" t="n">
        <f aca="false">E18</f>
        <v>4.77778860338054</v>
      </c>
      <c r="J33" s="30" t="n">
        <f aca="false">D18</f>
        <v>10.5094339553302</v>
      </c>
      <c r="K33" s="30" t="n">
        <f aca="false">D21</f>
        <v>8.66653167411005</v>
      </c>
    </row>
    <row r="34" customFormat="false" ht="15" hidden="false" customHeight="false" outlineLevel="0" collapsed="false">
      <c r="B34" s="3" t="s">
        <v>531</v>
      </c>
      <c r="G34" s="14" t="n">
        <f aca="false">IFERROR(G33/G32-1,"n.d.")</f>
        <v>0.143150476857282</v>
      </c>
      <c r="H34" s="14" t="n">
        <f aca="false">IFERROR(H33/H32-1,"n.d.")</f>
        <v>-0.219571064146905</v>
      </c>
      <c r="I34" s="14" t="str">
        <f aca="false">IFERROR(I33/I32-1,"n.d.")</f>
        <v>n.d.</v>
      </c>
      <c r="J34" s="14" t="n">
        <f aca="false">IFERROR(J33/J32-1,"n.d.")</f>
        <v>-0.205636133383964</v>
      </c>
      <c r="K34" s="14" t="n">
        <f aca="false">IFERROR(K33/K32-1,"n.d.")</f>
        <v>0.699319936100009</v>
      </c>
    </row>
    <row r="36" customFormat="false" ht="15" hidden="false" customHeight="false" outlineLevel="0" collapsed="false">
      <c r="B36" s="4" t="s">
        <v>532</v>
      </c>
    </row>
    <row r="37" customFormat="false" ht="15" hidden="false" customHeight="false" outlineLevel="0" collapsed="false">
      <c r="B37" s="6" t="s">
        <v>533</v>
      </c>
      <c r="C37" s="3" t="s">
        <v>534</v>
      </c>
      <c r="D37" s="52" t="n">
        <v>239.24</v>
      </c>
      <c r="E37" s="95" t="n">
        <v>5780</v>
      </c>
      <c r="F37" s="95" t="n">
        <v>5750</v>
      </c>
      <c r="G37" s="96" t="n">
        <v>19.78</v>
      </c>
      <c r="H37" s="96" t="n">
        <v>30.25</v>
      </c>
      <c r="I37" s="29" t="s">
        <v>229</v>
      </c>
      <c r="J37" s="96" t="n">
        <v>28.59</v>
      </c>
      <c r="K37" s="96" t="n">
        <v>24.67</v>
      </c>
    </row>
    <row r="38" customFormat="false" ht="15" hidden="false" customHeight="false" outlineLevel="0" collapsed="false">
      <c r="B38" s="6" t="s">
        <v>535</v>
      </c>
      <c r="C38" s="3" t="s">
        <v>536</v>
      </c>
      <c r="D38" s="52" t="n">
        <v>411.04</v>
      </c>
      <c r="E38" s="95" t="n">
        <v>149.7</v>
      </c>
      <c r="F38" s="29" t="s">
        <v>229</v>
      </c>
      <c r="G38" s="96" t="n">
        <v>19.55</v>
      </c>
      <c r="H38" s="96" t="n">
        <v>17</v>
      </c>
      <c r="I38" s="29" t="s">
        <v>229</v>
      </c>
      <c r="J38" s="29" t="s">
        <v>229</v>
      </c>
      <c r="K38" s="96" t="n">
        <v>18.8</v>
      </c>
    </row>
    <row r="40" customFormat="false" ht="15" hidden="false" customHeight="false" outlineLevel="0" collapsed="false">
      <c r="B40" s="3" t="s">
        <v>537</v>
      </c>
    </row>
    <row r="41" customFormat="false" ht="15" hidden="false" customHeight="false" outlineLevel="0" collapsed="false">
      <c r="B41" s="3" t="s">
        <v>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61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20" min="4" style="1" width="9.5"/>
  </cols>
  <sheetData>
    <row r="1" customFormat="false" ht="15" hidden="false" customHeight="false" outlineLevel="0" collapsed="false">
      <c r="B1" s="2" t="s">
        <v>539</v>
      </c>
    </row>
    <row r="2" customFormat="false" ht="15" hidden="false" customHeight="false" outlineLevel="0" collapsed="false">
      <c r="B2" s="3" t="s">
        <v>540</v>
      </c>
    </row>
    <row r="4" customFormat="false" ht="15" hidden="false" customHeight="false" outlineLevel="0" collapsed="false">
      <c r="B4" s="20" t="s">
        <v>27</v>
      </c>
      <c r="C4" s="21"/>
      <c r="D4" s="22" t="s">
        <v>541</v>
      </c>
      <c r="E4" s="22" t="s">
        <v>542</v>
      </c>
      <c r="F4" s="22" t="s">
        <v>543</v>
      </c>
      <c r="G4" s="22" t="s">
        <v>544</v>
      </c>
      <c r="H4" s="22" t="s">
        <v>545</v>
      </c>
      <c r="I4" s="22" t="s">
        <v>546</v>
      </c>
      <c r="J4" s="22" t="s">
        <v>547</v>
      </c>
      <c r="K4" s="22" t="s">
        <v>548</v>
      </c>
      <c r="L4" s="22" t="s">
        <v>549</v>
      </c>
      <c r="M4" s="22" t="s">
        <v>550</v>
      </c>
      <c r="N4" s="22" t="s">
        <v>551</v>
      </c>
      <c r="O4" s="22" t="s">
        <v>393</v>
      </c>
      <c r="P4" s="22" t="s">
        <v>552</v>
      </c>
      <c r="Q4" s="22" t="s">
        <v>553</v>
      </c>
      <c r="R4" s="22" t="s">
        <v>554</v>
      </c>
      <c r="S4" s="22" t="s">
        <v>555</v>
      </c>
      <c r="T4" s="22" t="s">
        <v>556</v>
      </c>
    </row>
    <row r="5" customFormat="false" ht="15" hidden="false" customHeight="false" outlineLevel="0" collapsed="false">
      <c r="B5" s="5" t="s">
        <v>37</v>
      </c>
      <c r="C5" s="3" t="s">
        <v>557</v>
      </c>
      <c r="D5" s="64" t="n">
        <v>4726</v>
      </c>
      <c r="E5" s="64" t="n">
        <v>5824</v>
      </c>
      <c r="F5" s="64" t="n">
        <v>6811</v>
      </c>
      <c r="G5" s="64" t="n">
        <v>7750</v>
      </c>
      <c r="H5" s="64" t="n">
        <v>8709</v>
      </c>
      <c r="I5" s="64" t="n">
        <v>8053</v>
      </c>
      <c r="J5" s="64" t="n">
        <v>9301</v>
      </c>
      <c r="K5" s="64" t="n">
        <v>11315</v>
      </c>
      <c r="L5" s="64" t="n">
        <v>13643</v>
      </c>
      <c r="M5" s="64" t="n">
        <v>23860</v>
      </c>
      <c r="N5" s="64" t="n">
        <v>41456</v>
      </c>
      <c r="O5" s="64" t="n">
        <v>54229</v>
      </c>
      <c r="P5" s="64" t="n">
        <v>61500</v>
      </c>
      <c r="Q5" s="67" t="n">
        <f aca="false">P5</f>
        <v>61500</v>
      </c>
      <c r="R5" s="67" t="n">
        <f aca="false">Q5*(1+Premissas!$I$150)</f>
        <v>66420</v>
      </c>
      <c r="S5" s="67" t="n">
        <f aca="false">R5*(1+Premissas!$I$155)</f>
        <v>71069.4</v>
      </c>
      <c r="T5" s="67" t="n">
        <f aca="false">DRE!$I$5-SUM(Q5:S5)</f>
        <v>73843.9148</v>
      </c>
    </row>
    <row r="6" customFormat="false" ht="15" hidden="false" customHeight="false" outlineLevel="0" collapsed="false">
      <c r="B6" s="6" t="s">
        <v>558</v>
      </c>
      <c r="D6" s="64" t="n">
        <v>3470</v>
      </c>
      <c r="E6" s="64" t="n">
        <v>4200</v>
      </c>
      <c r="F6" s="64" t="n">
        <v>4700</v>
      </c>
      <c r="G6" s="64" t="n">
        <v>5300</v>
      </c>
      <c r="H6" s="64" t="n">
        <v>6400</v>
      </c>
      <c r="I6" s="64" t="n">
        <v>6100</v>
      </c>
      <c r="J6" s="64" t="n">
        <v>7100</v>
      </c>
      <c r="K6" s="64" t="n">
        <v>9000</v>
      </c>
      <c r="L6" s="64" t="n">
        <v>10812</v>
      </c>
      <c r="M6" s="64" t="n">
        <v>18800</v>
      </c>
      <c r="N6" s="64" t="n">
        <v>31300</v>
      </c>
      <c r="O6" s="64" t="n">
        <v>39800</v>
      </c>
      <c r="P6" s="29" t="s">
        <v>229</v>
      </c>
      <c r="Q6" s="66" t="n">
        <f aca="false">Q5*Operacional!$I$15</f>
        <v>45948.2996832321</v>
      </c>
      <c r="R6" s="66" t="n">
        <f aca="false">R5*Operacional!$I$15</f>
        <v>49624.1636578907</v>
      </c>
      <c r="S6" s="66" t="n">
        <f aca="false">S5*Operacional!$I$15</f>
        <v>53097.855113943</v>
      </c>
      <c r="T6" s="66" t="n">
        <f aca="false">T5*Operacional!$I$15</f>
        <v>55170.7695449342</v>
      </c>
    </row>
    <row r="7" customFormat="false" ht="15" hidden="false" customHeight="false" outlineLevel="0" collapsed="false">
      <c r="B7" s="6" t="s">
        <v>559</v>
      </c>
      <c r="D7" s="64" t="n">
        <v>1260</v>
      </c>
      <c r="E7" s="64" t="n">
        <v>1600</v>
      </c>
      <c r="F7" s="64" t="n">
        <v>2100</v>
      </c>
      <c r="G7" s="64" t="n">
        <v>2400</v>
      </c>
      <c r="H7" s="64" t="n">
        <v>2200</v>
      </c>
      <c r="I7" s="64" t="n">
        <v>1900</v>
      </c>
      <c r="J7" s="64" t="n">
        <v>2200</v>
      </c>
      <c r="K7" s="64" t="n">
        <v>2300</v>
      </c>
      <c r="L7" s="64" t="n">
        <v>2743</v>
      </c>
      <c r="M7" s="64" t="n">
        <v>5000</v>
      </c>
      <c r="N7" s="64" t="n">
        <v>9900</v>
      </c>
      <c r="O7" s="64" t="n">
        <v>14100</v>
      </c>
      <c r="P7" s="29" t="s">
        <v>229</v>
      </c>
      <c r="Q7" s="66" t="n">
        <f aca="false">Q5*Operacional!$I$16</f>
        <v>15366.6457898418</v>
      </c>
      <c r="R7" s="66" t="n">
        <f aca="false">R5*Operacional!$I$16</f>
        <v>16595.9774530291</v>
      </c>
      <c r="S7" s="66" t="n">
        <f aca="false">S5*Operacional!$I$16</f>
        <v>17757.6958747412</v>
      </c>
      <c r="T7" s="66" t="n">
        <f aca="false">T5*Operacional!$I$16</f>
        <v>18450.9476823879</v>
      </c>
    </row>
    <row r="8" customFormat="false" ht="15" hidden="false" customHeight="false" outlineLevel="0" collapsed="false">
      <c r="B8" s="3" t="s">
        <v>560</v>
      </c>
      <c r="E8" s="14" t="n">
        <f aca="false">E5/D5-1</f>
        <v>0.232331781633517</v>
      </c>
      <c r="F8" s="14" t="n">
        <f aca="false">F5/E5-1</f>
        <v>0.169471153846154</v>
      </c>
      <c r="G8" s="14" t="n">
        <f aca="false">G5/F5-1</f>
        <v>0.137865218029658</v>
      </c>
      <c r="H8" s="14" t="n">
        <f aca="false">H5/G5-1</f>
        <v>0.123741935483871</v>
      </c>
      <c r="I8" s="14" t="n">
        <f aca="false">I5/H5-1</f>
        <v>-0.0753243770811803</v>
      </c>
      <c r="J8" s="14" t="n">
        <f aca="false">J5/I5-1</f>
        <v>0.154973301875078</v>
      </c>
      <c r="K8" s="14" t="n">
        <f aca="false">K5/J5-1</f>
        <v>0.216535856359531</v>
      </c>
      <c r="L8" s="14" t="n">
        <f aca="false">L5/K5-1</f>
        <v>0.205744586831639</v>
      </c>
      <c r="M8" s="14" t="n">
        <f aca="false">M5/L5-1</f>
        <v>0.74888221065748</v>
      </c>
      <c r="N8" s="14" t="n">
        <f aca="false">N5/M5-1</f>
        <v>0.737468566638726</v>
      </c>
      <c r="O8" s="14" t="n">
        <f aca="false">O5/N5-1</f>
        <v>0.308109803164801</v>
      </c>
      <c r="P8" s="14" t="n">
        <f aca="false">P5/O5-1</f>
        <v>0.134079551531468</v>
      </c>
      <c r="Q8" s="14" t="n">
        <f aca="false">Q5/O5-1</f>
        <v>0.134079551531468</v>
      </c>
      <c r="R8" s="14" t="n">
        <f aca="false">R5/Q5-1</f>
        <v>0.0800000000000001</v>
      </c>
      <c r="S8" s="14" t="n">
        <f aca="false">S5/R5-1</f>
        <v>0.0700000000000001</v>
      </c>
      <c r="T8" s="14" t="n">
        <f aca="false">T5/S5-1</f>
        <v>0.0390395134896306</v>
      </c>
    </row>
    <row r="9" customFormat="false" ht="15" hidden="false" customHeight="false" outlineLevel="0" collapsed="false">
      <c r="B9" s="6" t="s">
        <v>561</v>
      </c>
      <c r="D9" s="69" t="n">
        <v>-0.007</v>
      </c>
      <c r="E9" s="69" t="n">
        <v>0.185</v>
      </c>
      <c r="F9" s="69" t="n">
        <v>0.269</v>
      </c>
      <c r="G9" s="69" t="n">
        <v>0.353</v>
      </c>
      <c r="H9" s="69" t="n">
        <v>0.384</v>
      </c>
      <c r="I9" s="69" t="n">
        <v>0.368</v>
      </c>
      <c r="J9" s="69" t="n">
        <v>0.377</v>
      </c>
      <c r="K9" s="69" t="n">
        <v>0.447</v>
      </c>
      <c r="L9" s="69" t="n">
        <v>0.56</v>
      </c>
      <c r="M9" s="69" t="n">
        <v>0.744</v>
      </c>
      <c r="N9" s="69" t="n">
        <v>0.846</v>
      </c>
      <c r="O9" s="69" t="n">
        <v>0.868</v>
      </c>
      <c r="P9" s="80" t="n">
        <v>0.8595</v>
      </c>
      <c r="Q9" s="31" t="n">
        <f aca="false">$P$9+$D$58*Q57</f>
        <v>0.8595</v>
      </c>
      <c r="R9" s="31" t="n">
        <f aca="false">$P$9+$D$58*R57</f>
        <v>0.864929777621961</v>
      </c>
      <c r="S9" s="31" t="n">
        <f aca="false">$P$9+$D$58*S57</f>
        <v>0.870359555243921</v>
      </c>
      <c r="T9" s="31" t="n">
        <f aca="false">$P$9+$D$58*T57</f>
        <v>0.875789332865882</v>
      </c>
    </row>
    <row r="10" customFormat="false" ht="15" hidden="false" customHeight="false" outlineLevel="0" collapsed="false">
      <c r="B10" s="6" t="s">
        <v>562</v>
      </c>
      <c r="D10" s="69" t="n">
        <v>0.008</v>
      </c>
      <c r="E10" s="69" t="n">
        <v>0.2</v>
      </c>
      <c r="F10" s="69" t="n">
        <v>0.281</v>
      </c>
      <c r="G10" s="69" t="n">
        <v>0.365</v>
      </c>
      <c r="H10" s="69" t="n">
        <v>0.395</v>
      </c>
      <c r="I10" s="69" t="n">
        <v>0.379</v>
      </c>
      <c r="J10" s="69" t="n">
        <v>0.39</v>
      </c>
      <c r="K10" s="69" t="n">
        <v>0.457</v>
      </c>
      <c r="L10" s="69" t="n">
        <v>0.568</v>
      </c>
      <c r="M10" s="69" t="n">
        <v>0.749</v>
      </c>
      <c r="N10" s="69" t="n">
        <v>0.849</v>
      </c>
      <c r="O10" s="69" t="n">
        <v>0.87</v>
      </c>
      <c r="P10" s="80" t="n">
        <v>0.8625</v>
      </c>
      <c r="Q10" s="3"/>
      <c r="R10" s="3"/>
      <c r="S10" s="3"/>
      <c r="T10" s="3"/>
    </row>
    <row r="11" customFormat="false" ht="15" hidden="false" customHeight="false" outlineLevel="0" collapsed="false">
      <c r="B11" s="6" t="s">
        <v>563</v>
      </c>
      <c r="D11" s="64" t="n">
        <v>992</v>
      </c>
      <c r="E11" s="64" t="n">
        <v>959</v>
      </c>
      <c r="F11" s="64" t="n">
        <v>973</v>
      </c>
      <c r="G11" s="64" t="n">
        <v>1084</v>
      </c>
      <c r="H11" s="64" t="n">
        <v>1047</v>
      </c>
      <c r="I11" s="64" t="n">
        <v>1046</v>
      </c>
      <c r="J11" s="64" t="n">
        <v>1133</v>
      </c>
      <c r="K11" s="64" t="n">
        <v>1214</v>
      </c>
      <c r="L11" s="64" t="n">
        <v>1334</v>
      </c>
      <c r="M11" s="64" t="n">
        <v>1421</v>
      </c>
      <c r="N11" s="64" t="n">
        <v>1518</v>
      </c>
      <c r="O11" s="64" t="n">
        <v>2568</v>
      </c>
      <c r="P11" s="64" t="n">
        <v>2060</v>
      </c>
      <c r="Q11" s="66" t="n">
        <f aca="false">-(DRE!$I$10+DRE!$I$11+DRE!$I$12)/4</f>
        <v>2472.9375</v>
      </c>
      <c r="R11" s="66" t="n">
        <f aca="false">-(DRE!$I$10+DRE!$I$11+DRE!$I$12)/4</f>
        <v>2472.9375</v>
      </c>
      <c r="S11" s="66" t="n">
        <f aca="false">-(DRE!$I$10+DRE!$I$11+DRE!$I$12)/4</f>
        <v>2472.9375</v>
      </c>
      <c r="T11" s="66" t="n">
        <f aca="false">-(DRE!$I$10+DRE!$I$11+DRE!$I$12)/4</f>
        <v>2472.9375</v>
      </c>
    </row>
    <row r="12" customFormat="false" ht="15" hidden="false" customHeight="false" outlineLevel="0" collapsed="false">
      <c r="B12" s="6" t="s">
        <v>564</v>
      </c>
      <c r="D12" s="64" t="n">
        <v>-955</v>
      </c>
      <c r="E12" s="64" t="n">
        <v>204</v>
      </c>
      <c r="F12" s="64" t="n">
        <v>941</v>
      </c>
      <c r="G12" s="64" t="n">
        <v>1745</v>
      </c>
      <c r="H12" s="64" t="n">
        <v>2394</v>
      </c>
      <c r="I12" s="64" t="n">
        <v>2007</v>
      </c>
      <c r="J12" s="64" t="n">
        <v>2490</v>
      </c>
      <c r="K12" s="64" t="n">
        <v>3955</v>
      </c>
      <c r="L12" s="64" t="n">
        <v>6419</v>
      </c>
      <c r="M12" s="64" t="n">
        <v>16450</v>
      </c>
      <c r="N12" s="64" t="n">
        <v>33681</v>
      </c>
      <c r="O12" s="64" t="n">
        <v>44636</v>
      </c>
      <c r="P12" s="66" t="n">
        <f aca="false">P5*P10-P11</f>
        <v>50983.75</v>
      </c>
      <c r="Q12" s="66" t="n">
        <f aca="false">Q5*Q9-Q11</f>
        <v>50386.3125</v>
      </c>
      <c r="R12" s="66" t="n">
        <f aca="false">R5*R9-R11</f>
        <v>54975.6983296506</v>
      </c>
      <c r="S12" s="66" t="n">
        <f aca="false">S5*S9-S11</f>
        <v>59382.9938754523</v>
      </c>
      <c r="T12" s="66" t="n">
        <f aca="false">T5*T9-T11</f>
        <v>62198.775378897</v>
      </c>
    </row>
    <row r="13" customFormat="false" ht="15" hidden="false" customHeight="false" outlineLevel="0" collapsed="false">
      <c r="B13" s="6" t="s">
        <v>270</v>
      </c>
      <c r="D13" s="64" t="n">
        <v>-1050</v>
      </c>
      <c r="E13" s="64" t="n">
        <v>476</v>
      </c>
      <c r="F13" s="64" t="n">
        <v>702</v>
      </c>
      <c r="G13" s="29" t="s">
        <v>229</v>
      </c>
      <c r="H13" s="64" t="n">
        <v>2040</v>
      </c>
      <c r="I13" s="64" t="n">
        <v>1780</v>
      </c>
      <c r="J13" s="64" t="n">
        <v>2180</v>
      </c>
      <c r="K13" s="64" t="n">
        <v>3470</v>
      </c>
      <c r="L13" s="64" t="n">
        <v>5480</v>
      </c>
      <c r="M13" s="64" t="n">
        <v>14020</v>
      </c>
      <c r="N13" s="64" t="n">
        <v>28860</v>
      </c>
      <c r="O13" s="64" t="n">
        <v>38400</v>
      </c>
      <c r="P13" s="66" t="n">
        <f aca="false">P14*P16</f>
        <v>43872.5</v>
      </c>
      <c r="Q13" s="66" t="n">
        <f aca="false">DRE!$I$38*Q12/SUM($Q$12:$T$12)</f>
        <v>43501.0325476452</v>
      </c>
      <c r="R13" s="66" t="n">
        <f aca="false">DRE!$I$38*R12/SUM($Q$12:$T$12)</f>
        <v>47463.2796827047</v>
      </c>
      <c r="S13" s="66" t="n">
        <f aca="false">DRE!$I$38*S12/SUM($Q$12:$T$12)</f>
        <v>51268.3191363264</v>
      </c>
      <c r="T13" s="66" t="n">
        <f aca="false">DRE!$I$38*T12/SUM($Q$12:$T$12)</f>
        <v>53699.3246366476</v>
      </c>
    </row>
    <row r="14" customFormat="false" ht="15" hidden="false" customHeight="false" outlineLevel="0" collapsed="false">
      <c r="B14" s="5" t="s">
        <v>44</v>
      </c>
      <c r="D14" s="65" t="n">
        <v>-0.95</v>
      </c>
      <c r="E14" s="65" t="n">
        <v>0.42</v>
      </c>
      <c r="F14" s="65" t="n">
        <v>0.62</v>
      </c>
      <c r="G14" s="65" t="n">
        <v>1.18</v>
      </c>
      <c r="H14" s="65" t="n">
        <v>1.79</v>
      </c>
      <c r="I14" s="65" t="n">
        <v>1.56</v>
      </c>
      <c r="J14" s="65" t="n">
        <v>1.91</v>
      </c>
      <c r="K14" s="65" t="n">
        <v>3.03</v>
      </c>
      <c r="L14" s="65" t="n">
        <v>4.78</v>
      </c>
      <c r="M14" s="65" t="n">
        <v>12.2</v>
      </c>
      <c r="N14" s="65" t="n">
        <v>25.11</v>
      </c>
      <c r="O14" s="65" t="n">
        <v>33.42</v>
      </c>
      <c r="P14" s="65" t="n">
        <v>38.15</v>
      </c>
      <c r="Q14" s="71" t="n">
        <f aca="false">DRE!$I$39*Q12/SUM($Q$12:$T$12)</f>
        <v>39.895330515511</v>
      </c>
      <c r="R14" s="71" t="n">
        <f aca="false">DRE!$I$39*R12/SUM($Q$12:$T$12)</f>
        <v>43.5291559623943</v>
      </c>
      <c r="S14" s="71" t="n">
        <f aca="false">DRE!$I$39*S12/SUM($Q$12:$T$12)</f>
        <v>47.0188043163853</v>
      </c>
      <c r="T14" s="71" t="n">
        <f aca="false">DRE!$I$39*T12/SUM($Q$12:$T$12)</f>
        <v>49.2483092784598</v>
      </c>
    </row>
    <row r="15" customFormat="false" ht="15" hidden="false" customHeight="false" outlineLevel="0" collapsed="false">
      <c r="B15" s="6" t="s">
        <v>565</v>
      </c>
      <c r="D15" s="65" t="n">
        <v>-1.12</v>
      </c>
      <c r="E15" s="65" t="n">
        <v>0.71</v>
      </c>
      <c r="F15" s="65" t="n">
        <v>0.3</v>
      </c>
      <c r="G15" s="65" t="n">
        <v>0.79</v>
      </c>
      <c r="H15" s="65" t="n">
        <v>1.67</v>
      </c>
      <c r="I15" s="65" t="n">
        <v>1.41</v>
      </c>
      <c r="J15" s="65" t="n">
        <v>1.68</v>
      </c>
      <c r="K15" s="65" t="n">
        <v>2.83</v>
      </c>
      <c r="L15" s="65" t="n">
        <v>4.6</v>
      </c>
      <c r="M15" s="65" t="n">
        <v>12.07</v>
      </c>
      <c r="N15" s="65" t="n">
        <v>24.67</v>
      </c>
      <c r="O15" s="65" t="n">
        <v>32.87</v>
      </c>
      <c r="P15" s="65" t="n">
        <v>37.84</v>
      </c>
      <c r="Q15" s="3"/>
      <c r="R15" s="3"/>
      <c r="S15" s="3"/>
      <c r="T15" s="3"/>
    </row>
    <row r="16" customFormat="false" ht="15" hidden="false" customHeight="false" outlineLevel="0" collapsed="false">
      <c r="B16" s="3" t="s">
        <v>566</v>
      </c>
      <c r="D16" s="64" t="n">
        <v>1098</v>
      </c>
      <c r="E16" s="64" t="n">
        <v>1117</v>
      </c>
      <c r="F16" s="64" t="n">
        <v>1132</v>
      </c>
      <c r="G16" s="64" t="n">
        <v>1123</v>
      </c>
      <c r="H16" s="64" t="n">
        <v>1140</v>
      </c>
      <c r="I16" s="64" t="n">
        <v>1141</v>
      </c>
      <c r="J16" s="64" t="n">
        <v>1125</v>
      </c>
      <c r="K16" s="64" t="n">
        <v>1145</v>
      </c>
      <c r="L16" s="64" t="n">
        <v>1146</v>
      </c>
      <c r="M16" s="64" t="n">
        <v>1142</v>
      </c>
      <c r="N16" s="64" t="n">
        <v>1145</v>
      </c>
      <c r="O16" s="64" t="n">
        <v>1147</v>
      </c>
      <c r="P16" s="64" t="n">
        <v>1150</v>
      </c>
      <c r="Q16" s="3"/>
      <c r="R16" s="3"/>
      <c r="S16" s="3"/>
      <c r="T16" s="3"/>
    </row>
    <row r="17" customFormat="false" ht="15" hidden="false" customHeight="false" outlineLevel="0" collapsed="false">
      <c r="B17" s="6" t="s">
        <v>567</v>
      </c>
      <c r="D17" s="64" t="n">
        <v>1730</v>
      </c>
      <c r="E17" s="64" t="n">
        <v>1250</v>
      </c>
      <c r="F17" s="64" t="n">
        <v>2057</v>
      </c>
      <c r="G17" s="64" t="n">
        <v>3080</v>
      </c>
      <c r="H17" s="64" t="n">
        <v>3130</v>
      </c>
      <c r="I17" s="64" t="n">
        <v>3090</v>
      </c>
      <c r="J17" s="64" t="n">
        <v>2700</v>
      </c>
      <c r="K17" s="64" t="n">
        <v>4930</v>
      </c>
      <c r="L17" s="64" t="n">
        <v>4500</v>
      </c>
      <c r="M17" s="64" t="n">
        <v>5000</v>
      </c>
      <c r="N17" s="64" t="n">
        <v>7100</v>
      </c>
      <c r="O17" s="64" t="n">
        <v>10770</v>
      </c>
      <c r="P17" s="64" t="n">
        <v>11500</v>
      </c>
      <c r="Q17" s="66" t="n">
        <f aca="false">Premissas!$I$71/4</f>
        <v>13000</v>
      </c>
      <c r="R17" s="66" t="n">
        <f aca="false">Premissas!$I$71/4</f>
        <v>13000</v>
      </c>
      <c r="S17" s="66" t="n">
        <f aca="false">Premissas!$I$71/4</f>
        <v>13000</v>
      </c>
      <c r="T17" s="66" t="n">
        <f aca="false">Premissas!$I$71/4</f>
        <v>13000</v>
      </c>
    </row>
    <row r="18" customFormat="false" ht="15" hidden="false" customHeight="false" outlineLevel="0" collapsed="false">
      <c r="B18" s="6" t="s">
        <v>568</v>
      </c>
      <c r="D18" s="64" t="n">
        <v>-333</v>
      </c>
      <c r="E18" s="64" t="n">
        <v>-29</v>
      </c>
      <c r="F18" s="64" t="n">
        <v>425</v>
      </c>
      <c r="G18" s="64" t="n">
        <v>323</v>
      </c>
      <c r="H18" s="64" t="n">
        <v>112</v>
      </c>
      <c r="I18" s="64" t="n">
        <v>857</v>
      </c>
      <c r="J18" s="64" t="n">
        <v>1900</v>
      </c>
      <c r="K18" s="64" t="n">
        <v>803</v>
      </c>
      <c r="L18" s="64" t="n">
        <v>3900</v>
      </c>
      <c r="M18" s="64" t="n">
        <v>6900</v>
      </c>
      <c r="N18" s="64" t="n">
        <v>18300</v>
      </c>
      <c r="O18" s="64" t="n">
        <v>33200</v>
      </c>
      <c r="P18" s="29" t="s">
        <v>229</v>
      </c>
      <c r="Q18" s="3"/>
      <c r="R18" s="3"/>
      <c r="S18" s="3"/>
      <c r="T18" s="3"/>
    </row>
    <row r="19" customFormat="false" ht="15" hidden="false" customHeight="false" outlineLevel="0" collapsed="false">
      <c r="B19" s="6" t="s">
        <v>569</v>
      </c>
      <c r="D19" s="64" t="n">
        <v>9840</v>
      </c>
      <c r="E19" s="64" t="n">
        <v>9720</v>
      </c>
      <c r="F19" s="64" t="n">
        <v>9220</v>
      </c>
      <c r="G19" s="64" t="n">
        <v>9160</v>
      </c>
      <c r="H19" s="64" t="n">
        <v>8750</v>
      </c>
      <c r="I19" s="64" t="n">
        <v>9600</v>
      </c>
      <c r="J19" s="64" t="n">
        <v>12200</v>
      </c>
      <c r="K19" s="64" t="n">
        <v>11940</v>
      </c>
      <c r="L19" s="64" t="n">
        <v>12050</v>
      </c>
      <c r="M19" s="64" t="n">
        <v>16700</v>
      </c>
      <c r="N19" s="64" t="n">
        <v>30200</v>
      </c>
      <c r="O19" s="64" t="n">
        <v>73480</v>
      </c>
      <c r="P19" s="29" t="s">
        <v>229</v>
      </c>
      <c r="Q19" s="3"/>
      <c r="R19" s="3"/>
      <c r="S19" s="3"/>
      <c r="T19" s="3"/>
    </row>
    <row r="20" customFormat="false" ht="15" hidden="false" customHeight="false" outlineLevel="0" collapsed="false">
      <c r="B20" s="6" t="s">
        <v>570</v>
      </c>
      <c r="D20" s="64" t="n">
        <v>13505</v>
      </c>
      <c r="E20" s="64" t="n">
        <v>13722</v>
      </c>
      <c r="F20" s="64" t="n">
        <v>13258</v>
      </c>
      <c r="G20" s="64" t="n">
        <v>13400</v>
      </c>
      <c r="H20" s="64" t="n">
        <v>13800</v>
      </c>
      <c r="I20" s="29" t="s">
        <v>229</v>
      </c>
      <c r="J20" s="64" t="n">
        <v>15500</v>
      </c>
      <c r="K20" s="64" t="n">
        <v>14600</v>
      </c>
      <c r="L20" s="64" t="n">
        <v>11800</v>
      </c>
      <c r="M20" s="64" t="n">
        <v>10100</v>
      </c>
      <c r="N20" s="64" t="n">
        <v>5700</v>
      </c>
      <c r="O20" s="64" t="n">
        <v>5179</v>
      </c>
      <c r="P20" s="29" t="s">
        <v>229</v>
      </c>
      <c r="Q20" s="3"/>
      <c r="R20" s="3"/>
      <c r="S20" s="3"/>
      <c r="T20" s="3"/>
    </row>
    <row r="21" customFormat="false" ht="15" hidden="false" customHeight="false" outlineLevel="0" collapsed="false">
      <c r="B21" s="6" t="s">
        <v>571</v>
      </c>
      <c r="D21" s="29" t="s">
        <v>229</v>
      </c>
      <c r="E21" s="29" t="s">
        <v>229</v>
      </c>
      <c r="F21" s="29" t="s">
        <v>229</v>
      </c>
      <c r="G21" s="100" t="n">
        <v>158</v>
      </c>
      <c r="H21" s="100" t="n">
        <v>149</v>
      </c>
      <c r="I21" s="100" t="n">
        <v>158</v>
      </c>
      <c r="J21" s="29" t="s">
        <v>229</v>
      </c>
      <c r="K21" s="100" t="n">
        <v>124</v>
      </c>
      <c r="L21" s="100" t="n">
        <v>126</v>
      </c>
      <c r="M21" s="100" t="n">
        <v>123</v>
      </c>
      <c r="N21" s="100" t="n">
        <v>120</v>
      </c>
      <c r="O21" s="100" t="n">
        <v>129</v>
      </c>
      <c r="P21" s="29" t="s">
        <v>229</v>
      </c>
      <c r="Q21" s="3"/>
      <c r="R21" s="3"/>
      <c r="S21" s="3"/>
      <c r="T21" s="3"/>
    </row>
    <row r="22" customFormat="false" ht="15" hidden="false" customHeight="false" outlineLevel="0" collapsed="false">
      <c r="B22" s="6" t="s">
        <v>272</v>
      </c>
      <c r="D22" s="65" t="n">
        <v>0.115</v>
      </c>
      <c r="E22" s="65" t="n">
        <v>0.115</v>
      </c>
      <c r="F22" s="65" t="n">
        <v>0.115</v>
      </c>
      <c r="G22" s="65" t="n">
        <v>0.115</v>
      </c>
      <c r="H22" s="65" t="n">
        <v>0.115</v>
      </c>
      <c r="I22" s="65" t="n">
        <v>0.115</v>
      </c>
      <c r="J22" s="65" t="n">
        <v>0.115</v>
      </c>
      <c r="K22" s="65" t="n">
        <v>0.115</v>
      </c>
      <c r="L22" s="65" t="n">
        <v>0.115</v>
      </c>
      <c r="M22" s="65" t="n">
        <v>0.115</v>
      </c>
      <c r="N22" s="65" t="n">
        <v>0.15</v>
      </c>
      <c r="O22" s="65" t="n">
        <v>0.15</v>
      </c>
      <c r="P22" s="65" t="n">
        <v>0.15</v>
      </c>
      <c r="Q22" s="39" t="n">
        <f aca="false">DRE!$I$42/4</f>
        <v>0.1749</v>
      </c>
      <c r="R22" s="39" t="n">
        <f aca="false">DRE!$I$42/4</f>
        <v>0.1749</v>
      </c>
      <c r="S22" s="39" t="n">
        <f aca="false">DRE!$I$42/4</f>
        <v>0.1749</v>
      </c>
      <c r="T22" s="39" t="n">
        <f aca="false">DRE!$I$42/4</f>
        <v>0.1749</v>
      </c>
    </row>
    <row r="24" customFormat="false" ht="15" hidden="false" customHeight="false" outlineLevel="0" collapsed="false">
      <c r="B24" s="4" t="s">
        <v>572</v>
      </c>
    </row>
    <row r="25" customFormat="false" ht="15" hidden="false" customHeight="false" outlineLevel="0" collapsed="false">
      <c r="B25" s="6" t="s">
        <v>573</v>
      </c>
      <c r="C25" s="3" t="s">
        <v>574</v>
      </c>
      <c r="D25" s="70" t="s">
        <v>575</v>
      </c>
      <c r="E25" s="70" t="s">
        <v>576</v>
      </c>
      <c r="F25" s="70" t="s">
        <v>577</v>
      </c>
      <c r="G25" s="3" t="s">
        <v>229</v>
      </c>
      <c r="H25" s="70" t="s">
        <v>578</v>
      </c>
      <c r="I25" s="70" t="s">
        <v>579</v>
      </c>
      <c r="J25" s="70" t="s">
        <v>580</v>
      </c>
      <c r="K25" s="70" t="s">
        <v>581</v>
      </c>
      <c r="L25" s="70" t="s">
        <v>582</v>
      </c>
      <c r="M25" s="70" t="s">
        <v>583</v>
      </c>
      <c r="N25" s="70" t="s">
        <v>576</v>
      </c>
      <c r="O25" s="70" t="s">
        <v>583</v>
      </c>
      <c r="Q25" s="59" t="n">
        <f aca="false">(1+Premissas!$I$11)^(1/4)-1</f>
        <v>0.0355580763416221</v>
      </c>
      <c r="R25" s="59" t="n">
        <f aca="false">(1+Premissas!$I$11)^(1/4)-1</f>
        <v>0.0355580763416221</v>
      </c>
      <c r="S25" s="59" t="n">
        <f aca="false">(1+Premissas!$I$11)^(1/4)-1</f>
        <v>0.0355580763416221</v>
      </c>
      <c r="T25" s="59" t="n">
        <f aca="false">(1+Premissas!$I$11)^(1/4)-1</f>
        <v>0.0355580763416221</v>
      </c>
    </row>
    <row r="26" customFormat="false" ht="15" hidden="false" customHeight="false" outlineLevel="0" collapsed="false">
      <c r="B26" s="6" t="s">
        <v>584</v>
      </c>
      <c r="D26" s="70" t="s">
        <v>585</v>
      </c>
      <c r="E26" s="70" t="s">
        <v>586</v>
      </c>
      <c r="F26" s="70" t="s">
        <v>587</v>
      </c>
      <c r="G26" s="3" t="s">
        <v>229</v>
      </c>
      <c r="H26" s="70" t="s">
        <v>588</v>
      </c>
      <c r="I26" s="70" t="s">
        <v>589</v>
      </c>
      <c r="J26" s="70" t="s">
        <v>590</v>
      </c>
      <c r="K26" s="70" t="s">
        <v>591</v>
      </c>
      <c r="L26" s="70" t="s">
        <v>587</v>
      </c>
      <c r="M26" s="70" t="s">
        <v>592</v>
      </c>
      <c r="N26" s="70" t="s">
        <v>593</v>
      </c>
      <c r="O26" s="70" t="s">
        <v>586</v>
      </c>
      <c r="Q26" s="59" t="n">
        <f aca="false">(Q6/O6)/(1+Q25)-1</f>
        <v>0.114838383200095</v>
      </c>
      <c r="R26" s="59" t="n">
        <f aca="false">(R6/Q6)/(1+R25)-1</f>
        <v>0.0429159162327049</v>
      </c>
      <c r="S26" s="59" t="n">
        <f aca="false">(S6/R6)/(1+S25)-1</f>
        <v>0.0332592873786983</v>
      </c>
      <c r="T26" s="59" t="n">
        <f aca="false">(T6/S6)/(1+T25)-1</f>
        <v>0.00336189464168712</v>
      </c>
    </row>
    <row r="27" customFormat="false" ht="15" hidden="false" customHeight="false" outlineLevel="0" collapsed="false">
      <c r="B27" s="6" t="s">
        <v>594</v>
      </c>
      <c r="D27" s="70" t="s">
        <v>595</v>
      </c>
      <c r="E27" s="70" t="s">
        <v>596</v>
      </c>
      <c r="F27" s="70" t="s">
        <v>597</v>
      </c>
      <c r="G27" s="3" t="s">
        <v>229</v>
      </c>
      <c r="H27" s="70" t="s">
        <v>596</v>
      </c>
      <c r="I27" s="70" t="s">
        <v>598</v>
      </c>
      <c r="J27" s="70" t="s">
        <v>599</v>
      </c>
      <c r="K27" s="70" t="s">
        <v>577</v>
      </c>
      <c r="L27" s="70" t="s">
        <v>600</v>
      </c>
      <c r="M27" s="70" t="s">
        <v>576</v>
      </c>
      <c r="N27" s="70" t="s">
        <v>583</v>
      </c>
      <c r="O27" s="70" t="s">
        <v>601</v>
      </c>
      <c r="Q27" s="59" t="n">
        <f aca="false">(1+Premissas!$I$29)^(1/4)-1</f>
        <v>0.0422466354563211</v>
      </c>
      <c r="R27" s="59" t="n">
        <f aca="false">(1+Premissas!$I$29)^(1/4)-1</f>
        <v>0.0422466354563211</v>
      </c>
      <c r="S27" s="59" t="n">
        <f aca="false">(1+Premissas!$I$29)^(1/4)-1</f>
        <v>0.0422466354563211</v>
      </c>
      <c r="T27" s="59" t="n">
        <f aca="false">(1+Premissas!$I$29)^(1/4)-1</f>
        <v>0.0422466354563211</v>
      </c>
    </row>
    <row r="28" customFormat="false" ht="15" hidden="false" customHeight="false" outlineLevel="0" collapsed="false">
      <c r="B28" s="6" t="s">
        <v>602</v>
      </c>
      <c r="D28" s="70" t="s">
        <v>587</v>
      </c>
      <c r="E28" s="70" t="s">
        <v>603</v>
      </c>
      <c r="F28" s="70" t="s">
        <v>587</v>
      </c>
      <c r="G28" s="3" t="s">
        <v>229</v>
      </c>
      <c r="H28" s="70" t="s">
        <v>604</v>
      </c>
      <c r="I28" s="70" t="s">
        <v>605</v>
      </c>
      <c r="J28" s="70" t="s">
        <v>606</v>
      </c>
      <c r="K28" s="70" t="s">
        <v>607</v>
      </c>
      <c r="L28" s="70" t="s">
        <v>608</v>
      </c>
      <c r="M28" s="70" t="s">
        <v>609</v>
      </c>
      <c r="N28" s="70" t="s">
        <v>610</v>
      </c>
      <c r="O28" s="70" t="s">
        <v>611</v>
      </c>
      <c r="Q28" s="59" t="n">
        <f aca="false">(Q7/O7)/(1+Q27)-1</f>
        <v>0.0456575225722813</v>
      </c>
      <c r="R28" s="59" t="n">
        <f aca="false">(R7/Q7)/(1+R27)-1</f>
        <v>0.0362230620462973</v>
      </c>
      <c r="S28" s="59" t="n">
        <f aca="false">(S7/R7)/(1+S27)-1</f>
        <v>0.0266284040643872</v>
      </c>
      <c r="T28" s="59" t="n">
        <f aca="false">(T7/S7)/(1+T27)-1</f>
        <v>-0.00307712383766667</v>
      </c>
    </row>
    <row r="29" customFormat="false" ht="15" hidden="false" customHeight="false" outlineLevel="0" collapsed="false">
      <c r="B29" s="6" t="s">
        <v>612</v>
      </c>
      <c r="D29" s="70" t="s">
        <v>613</v>
      </c>
      <c r="E29" s="70" t="s">
        <v>614</v>
      </c>
      <c r="F29" s="70" t="s">
        <v>615</v>
      </c>
      <c r="G29" s="70" t="s">
        <v>616</v>
      </c>
      <c r="H29" s="70" t="s">
        <v>617</v>
      </c>
      <c r="I29" s="70" t="s">
        <v>618</v>
      </c>
      <c r="J29" s="70" t="s">
        <v>619</v>
      </c>
      <c r="K29" s="70" t="s">
        <v>620</v>
      </c>
      <c r="L29" s="70" t="s">
        <v>621</v>
      </c>
      <c r="M29" s="70" t="s">
        <v>622</v>
      </c>
      <c r="N29" s="70" t="s">
        <v>623</v>
      </c>
      <c r="O29" s="70" t="s">
        <v>624</v>
      </c>
      <c r="P29" s="70" t="s">
        <v>625</v>
      </c>
    </row>
    <row r="31" customFormat="false" ht="15" hidden="false" customHeight="false" outlineLevel="0" collapsed="false">
      <c r="B31" s="4" t="s">
        <v>626</v>
      </c>
    </row>
    <row r="32" customFormat="false" ht="15" hidden="false" customHeight="false" outlineLevel="0" collapsed="false">
      <c r="B32" s="6" t="s">
        <v>627</v>
      </c>
      <c r="K32" s="64" t="n">
        <v>4543</v>
      </c>
      <c r="L32" s="64" t="n">
        <v>5300</v>
      </c>
      <c r="M32" s="64" t="n">
        <v>7749</v>
      </c>
      <c r="N32" s="64" t="n">
        <v>13769</v>
      </c>
      <c r="O32" s="64" t="n">
        <v>16283</v>
      </c>
    </row>
    <row r="33" customFormat="false" ht="15" hidden="false" customHeight="false" outlineLevel="0" collapsed="false">
      <c r="B33" s="6" t="s">
        <v>628</v>
      </c>
      <c r="K33" s="64" t="n">
        <v>1577</v>
      </c>
      <c r="L33" s="64" t="n">
        <v>2379</v>
      </c>
      <c r="M33" s="64" t="n">
        <v>5690</v>
      </c>
      <c r="N33" s="64" t="n">
        <v>11524</v>
      </c>
      <c r="O33" s="64" t="n">
        <v>18002</v>
      </c>
    </row>
    <row r="34" customFormat="false" ht="15" hidden="false" customHeight="false" outlineLevel="0" collapsed="false">
      <c r="B34" s="6" t="s">
        <v>629</v>
      </c>
      <c r="K34" s="64" t="n">
        <v>3760</v>
      </c>
      <c r="L34" s="64" t="n">
        <v>4300</v>
      </c>
      <c r="M34" s="64" t="n">
        <v>7700</v>
      </c>
      <c r="N34" s="64" t="n">
        <v>11521</v>
      </c>
      <c r="O34" s="64" t="n">
        <v>13114</v>
      </c>
    </row>
    <row r="35" customFormat="false" ht="15" hidden="false" customHeight="false" outlineLevel="0" collapsed="false">
      <c r="B35" s="6" t="s">
        <v>630</v>
      </c>
      <c r="K35" s="64" t="n">
        <v>1435</v>
      </c>
      <c r="L35" s="64" t="n">
        <v>1700</v>
      </c>
      <c r="M35" s="64" t="n">
        <v>2700</v>
      </c>
      <c r="N35" s="64" t="n">
        <v>4634</v>
      </c>
      <c r="O35" s="64" t="n">
        <v>6824</v>
      </c>
    </row>
    <row r="36" customFormat="false" ht="15" hidden="false" customHeight="false" outlineLevel="0" collapsed="false">
      <c r="B36" s="4" t="s">
        <v>631</v>
      </c>
    </row>
    <row r="37" customFormat="false" ht="15" hidden="false" customHeight="false" outlineLevel="0" collapsed="false">
      <c r="B37" s="6" t="s">
        <v>632</v>
      </c>
      <c r="D37" s="64" t="n">
        <v>1737</v>
      </c>
      <c r="E37" s="64" t="n">
        <v>2185</v>
      </c>
      <c r="F37" s="64" t="n">
        <v>2570</v>
      </c>
      <c r="H37" s="64" t="n">
        <v>4395</v>
      </c>
      <c r="I37" s="64" t="n">
        <v>4564</v>
      </c>
      <c r="J37" s="64" t="n">
        <v>5069</v>
      </c>
    </row>
    <row r="38" customFormat="false" ht="15" hidden="false" customHeight="false" outlineLevel="0" collapsed="false">
      <c r="B38" s="6" t="s">
        <v>633</v>
      </c>
      <c r="D38" s="64" t="n">
        <v>1293</v>
      </c>
      <c r="E38" s="64" t="n">
        <v>1598</v>
      </c>
      <c r="F38" s="64" t="n">
        <v>1590</v>
      </c>
      <c r="H38" s="64" t="n">
        <v>1527</v>
      </c>
      <c r="I38" s="64" t="n">
        <v>1068</v>
      </c>
      <c r="J38" s="64" t="n">
        <v>1551</v>
      </c>
    </row>
    <row r="39" customFormat="false" ht="15" hidden="false" customHeight="false" outlineLevel="0" collapsed="false">
      <c r="B39" s="6" t="s">
        <v>634</v>
      </c>
      <c r="D39" s="64" t="n">
        <v>1037</v>
      </c>
      <c r="E39" s="64" t="n">
        <v>1111</v>
      </c>
      <c r="F39" s="64" t="n">
        <v>1290</v>
      </c>
      <c r="I39" s="64" t="n">
        <v>1025</v>
      </c>
      <c r="J39" s="64" t="n">
        <v>1227</v>
      </c>
    </row>
    <row r="40" customFormat="false" ht="15" hidden="false" customHeight="false" outlineLevel="0" collapsed="false">
      <c r="B40" s="6" t="s">
        <v>635</v>
      </c>
      <c r="D40" s="64" t="n">
        <v>653</v>
      </c>
      <c r="E40" s="64" t="n">
        <v>905</v>
      </c>
      <c r="F40" s="64" t="n">
        <v>1350</v>
      </c>
      <c r="I40" s="64" t="n">
        <v>1392</v>
      </c>
      <c r="J40" s="64" t="n">
        <v>1451</v>
      </c>
    </row>
    <row r="42" customFormat="false" ht="15" hidden="false" customHeight="false" outlineLevel="0" collapsed="false">
      <c r="B42" s="4" t="s">
        <v>636</v>
      </c>
    </row>
    <row r="43" customFormat="false" ht="15" hidden="false" customHeight="false" outlineLevel="0" collapsed="false">
      <c r="B43" s="6" t="s">
        <v>637</v>
      </c>
      <c r="D43" s="66" t="n">
        <f aca="false">4*P5</f>
        <v>246000</v>
      </c>
    </row>
    <row r="44" customFormat="false" ht="15" hidden="false" customHeight="false" outlineLevel="0" collapsed="false">
      <c r="B44" s="6" t="s">
        <v>638</v>
      </c>
      <c r="D44" s="25" t="n">
        <f aca="false">DRE!$I$5</f>
        <v>272833.3148</v>
      </c>
    </row>
    <row r="45" customFormat="false" ht="15" hidden="false" customHeight="false" outlineLevel="0" collapsed="false">
      <c r="B45" s="3" t="s">
        <v>639</v>
      </c>
      <c r="C45" s="3" t="str">
        <f aca="false">Premissas!$E$4&amp;": "&amp;TEXT(D45,"+0.0%;-0.0%")&amp;" vs 4x guia"</f>
        <v>Base: +10.9% vs 4x guia</v>
      </c>
      <c r="D45" s="14" t="n">
        <f aca="false">D44/D43-1</f>
        <v>0.109078515447155</v>
      </c>
    </row>
    <row r="46" customFormat="false" ht="15" hidden="false" customHeight="false" outlineLevel="0" collapsed="false">
      <c r="B46" s="3" t="s">
        <v>640</v>
      </c>
      <c r="D46" s="28" t="n">
        <f aca="false">D44/4</f>
        <v>68208.3287</v>
      </c>
      <c r="E46" s="14" t="n">
        <f aca="false">D46/P5-1</f>
        <v>0.109078515447155</v>
      </c>
    </row>
    <row r="47" customFormat="false" ht="15" hidden="false" customHeight="false" outlineLevel="0" collapsed="false">
      <c r="B47" s="6" t="s">
        <v>641</v>
      </c>
      <c r="D47" s="31" t="n">
        <f aca="false">P9</f>
        <v>0.8595</v>
      </c>
    </row>
    <row r="48" customFormat="false" ht="15" hidden="false" customHeight="false" outlineLevel="0" collapsed="false">
      <c r="B48" s="6" t="s">
        <v>642</v>
      </c>
      <c r="D48" s="85" t="n">
        <f aca="false">DRE!$I$9</f>
        <v>0.868059423965918</v>
      </c>
    </row>
    <row r="49" customFormat="false" ht="15" hidden="false" customHeight="false" outlineLevel="0" collapsed="false">
      <c r="B49" s="6" t="s">
        <v>643</v>
      </c>
      <c r="D49" s="39" t="n">
        <f aca="false">4*P14</f>
        <v>152.6</v>
      </c>
    </row>
    <row r="50" customFormat="false" ht="15" hidden="false" customHeight="false" outlineLevel="0" collapsed="false">
      <c r="B50" s="6" t="s">
        <v>644</v>
      </c>
      <c r="D50" s="77" t="n">
        <f aca="false">DRE!$I$39</f>
        <v>179.69160007275</v>
      </c>
    </row>
    <row r="51" customFormat="false" ht="15" hidden="false" customHeight="false" outlineLevel="0" collapsed="false">
      <c r="B51" s="6" t="s">
        <v>645</v>
      </c>
      <c r="D51" s="25" t="n">
        <f aca="false">Premissas!$I$228</f>
        <v>275010</v>
      </c>
    </row>
    <row r="52" customFormat="false" ht="15" hidden="false" customHeight="false" outlineLevel="0" collapsed="false">
      <c r="B52" s="3" t="s">
        <v>47</v>
      </c>
      <c r="D52" s="14" t="n">
        <f aca="false">D44/D51-1</f>
        <v>-0.00791493109341479</v>
      </c>
    </row>
    <row r="53" customFormat="false" ht="15" hidden="false" customHeight="false" outlineLevel="0" collapsed="false">
      <c r="B53" s="6" t="s">
        <v>646</v>
      </c>
      <c r="D53" s="77" t="n">
        <f aca="false">Premissas!$I$229</f>
        <v>176.15</v>
      </c>
    </row>
    <row r="54" customFormat="false" ht="15" hidden="false" customHeight="false" outlineLevel="0" collapsed="false">
      <c r="B54" s="3" t="s">
        <v>47</v>
      </c>
      <c r="D54" s="14" t="n">
        <f aca="false">D50/D53-1</f>
        <v>0.0201055922381519</v>
      </c>
    </row>
    <row r="56" customFormat="false" ht="15" hidden="false" customHeight="false" outlineLevel="0" collapsed="false">
      <c r="B56" s="4" t="s">
        <v>647</v>
      </c>
    </row>
    <row r="57" customFormat="false" ht="15" hidden="false" customHeight="false" outlineLevel="0" collapsed="false">
      <c r="B57" s="3" t="s">
        <v>648</v>
      </c>
      <c r="Q57" s="72" t="n">
        <v>0</v>
      </c>
      <c r="R57" s="72" t="n">
        <v>1</v>
      </c>
      <c r="S57" s="72" t="n">
        <v>2</v>
      </c>
      <c r="T57" s="72" t="n">
        <v>3</v>
      </c>
    </row>
    <row r="58" customFormat="false" ht="15" hidden="false" customHeight="false" outlineLevel="0" collapsed="false">
      <c r="B58" s="6" t="s">
        <v>649</v>
      </c>
      <c r="D58" s="31" t="n">
        <f aca="false">(DRE!$I$8-$P$9*DRE!$I$5)/SUMPRODUCT(Q5:T5,Q57:T57)</f>
        <v>0.00542977762196057</v>
      </c>
    </row>
    <row r="59" customFormat="false" ht="15" hidden="false" customHeight="false" outlineLevel="0" collapsed="false">
      <c r="B59" s="6" t="s">
        <v>650</v>
      </c>
      <c r="D59" s="39" t="n">
        <f aca="false">Q14</f>
        <v>39.895330515511</v>
      </c>
      <c r="E59" s="14" t="n">
        <f aca="false">D59/P14-1</f>
        <v>0.0457491616123467</v>
      </c>
    </row>
    <row r="60" customFormat="false" ht="15" hidden="false" customHeight="false" outlineLevel="0" collapsed="false">
      <c r="B60" s="3" t="s">
        <v>651</v>
      </c>
      <c r="D60" s="28" t="n">
        <f aca="false">SUM(Q5:T5)-DRE!$I$5</f>
        <v>0</v>
      </c>
    </row>
    <row r="61" customFormat="false" ht="15" hidden="false" customHeight="false" outlineLevel="0" collapsed="false">
      <c r="B61" s="5" t="s">
        <v>652</v>
      </c>
      <c r="D61" s="5" t="str">
        <f aca="false">IF(ABS(D60)&lt;0.5,"ok","ERRO")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36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7" min="4" style="1" width="9.5"/>
    <col collapsed="false" customWidth="true" hidden="false" outlineLevel="0" max="21" min="19" style="1" width="12"/>
  </cols>
  <sheetData>
    <row r="1" customFormat="false" ht="15" hidden="false" customHeight="false" outlineLevel="0" collapsed="false">
      <c r="B1" s="2" t="s">
        <v>653</v>
      </c>
    </row>
    <row r="2" customFormat="false" ht="15" hidden="false" customHeight="false" outlineLevel="0" collapsed="false">
      <c r="B2" s="3" t="s">
        <v>654</v>
      </c>
    </row>
    <row r="4" customFormat="false" ht="15" hidden="false" customHeight="false" outlineLevel="0" collapsed="false">
      <c r="B4" s="20" t="s">
        <v>27</v>
      </c>
      <c r="C4" s="21"/>
      <c r="D4" s="22" t="s">
        <v>655</v>
      </c>
      <c r="E4" s="22" t="s">
        <v>656</v>
      </c>
      <c r="F4" s="22" t="s">
        <v>657</v>
      </c>
      <c r="G4" s="22" t="s">
        <v>658</v>
      </c>
      <c r="H4" s="22" t="s">
        <v>659</v>
      </c>
      <c r="I4" s="22" t="s">
        <v>660</v>
      </c>
      <c r="J4" s="22" t="s">
        <v>661</v>
      </c>
      <c r="K4" s="22" t="s">
        <v>662</v>
      </c>
      <c r="L4" s="22" t="s">
        <v>663</v>
      </c>
      <c r="M4" s="22" t="s">
        <v>95</v>
      </c>
      <c r="N4" s="22" t="s">
        <v>96</v>
      </c>
      <c r="O4" s="22" t="s">
        <v>28</v>
      </c>
      <c r="P4" s="22" t="s">
        <v>29</v>
      </c>
      <c r="Q4" s="22" t="s">
        <v>30</v>
      </c>
      <c r="S4" s="22" t="s">
        <v>664</v>
      </c>
      <c r="T4" s="22" t="s">
        <v>665</v>
      </c>
      <c r="U4" s="22" t="s">
        <v>666</v>
      </c>
    </row>
    <row r="5" customFormat="false" ht="15" hidden="false" customHeight="false" outlineLevel="0" collapsed="false">
      <c r="B5" s="5" t="s">
        <v>37</v>
      </c>
      <c r="D5" s="64" t="n">
        <v>9073</v>
      </c>
      <c r="E5" s="64" t="n">
        <v>16358</v>
      </c>
      <c r="F5" s="64" t="n">
        <v>16192</v>
      </c>
      <c r="G5" s="64" t="n">
        <v>12399</v>
      </c>
      <c r="H5" s="64" t="n">
        <v>20322</v>
      </c>
      <c r="I5" s="64" t="n">
        <v>30391</v>
      </c>
      <c r="J5" s="64" t="n">
        <v>23406</v>
      </c>
      <c r="K5" s="64" t="n">
        <v>21435</v>
      </c>
      <c r="L5" s="64" t="n">
        <v>27705</v>
      </c>
      <c r="M5" s="64" t="n">
        <v>30758</v>
      </c>
      <c r="N5" s="64" t="n">
        <v>15540</v>
      </c>
      <c r="O5" s="64" t="n">
        <v>25111</v>
      </c>
      <c r="P5" s="64" t="n">
        <v>37378</v>
      </c>
      <c r="Q5" s="64" t="n">
        <v>133188</v>
      </c>
      <c r="S5" s="66" t="n">
        <f aca="false">AVERAGE(D5:P5)</f>
        <v>22005.2307692308</v>
      </c>
      <c r="T5" s="66" t="n">
        <f aca="false">MEDIAN(D5:P5)</f>
        <v>21435</v>
      </c>
      <c r="U5" s="66" t="n">
        <f aca="false">AVERAGE(D5:H5,J5:L5,N5:P5)</f>
        <v>20447.1818181818</v>
      </c>
    </row>
    <row r="6" customFormat="false" ht="15" hidden="false" customHeight="false" outlineLevel="0" collapsed="false">
      <c r="B6" s="3" t="s">
        <v>38</v>
      </c>
      <c r="E6" s="14" t="n">
        <f aca="false">E5/D5-1</f>
        <v>0.802931775597928</v>
      </c>
      <c r="F6" s="14" t="n">
        <f aca="false">F5/E5-1</f>
        <v>-0.010147939845947</v>
      </c>
      <c r="G6" s="14" t="n">
        <f aca="false">G5/F5-1</f>
        <v>-0.234251482213439</v>
      </c>
      <c r="H6" s="14" t="n">
        <f aca="false">H5/G5-1</f>
        <v>0.639003145414953</v>
      </c>
      <c r="I6" s="14" t="n">
        <f aca="false">I5/H5-1</f>
        <v>0.495472886526917</v>
      </c>
      <c r="J6" s="14" t="n">
        <f aca="false">J5/I5-1</f>
        <v>-0.229837780921983</v>
      </c>
      <c r="K6" s="14" t="n">
        <f aca="false">K5/J5-1</f>
        <v>-0.0842091771340682</v>
      </c>
      <c r="L6" s="14" t="n">
        <f aca="false">L5/K5-1</f>
        <v>0.292512246326102</v>
      </c>
      <c r="M6" s="14" t="n">
        <f aca="false">M5/L5-1</f>
        <v>0.110196715394333</v>
      </c>
      <c r="N6" s="14" t="n">
        <f aca="false">N5/M5-1</f>
        <v>-0.494765589440146</v>
      </c>
      <c r="O6" s="14" t="n">
        <f aca="false">O5/N5-1</f>
        <v>0.615894465894466</v>
      </c>
      <c r="P6" s="14" t="n">
        <f aca="false">P5/O5-1</f>
        <v>0.488511011110669</v>
      </c>
      <c r="Q6" s="14" t="n">
        <f aca="false">Q5/P5-1</f>
        <v>2.56327251324308</v>
      </c>
    </row>
    <row r="7" customFormat="false" ht="15" hidden="false" customHeight="false" outlineLevel="0" collapsed="false">
      <c r="B7" s="6" t="s">
        <v>439</v>
      </c>
      <c r="D7" s="64" t="n">
        <v>1847</v>
      </c>
      <c r="E7" s="64" t="n">
        <v>5437</v>
      </c>
      <c r="F7" s="64" t="n">
        <v>5215</v>
      </c>
      <c r="G7" s="64" t="n">
        <v>2505</v>
      </c>
      <c r="H7" s="64" t="n">
        <v>8436</v>
      </c>
      <c r="I7" s="64" t="n">
        <v>17891</v>
      </c>
      <c r="J7" s="64" t="n">
        <v>10702</v>
      </c>
      <c r="K7" s="64" t="n">
        <v>6552</v>
      </c>
      <c r="L7" s="64" t="n">
        <v>10423</v>
      </c>
      <c r="M7" s="64" t="n">
        <v>13898</v>
      </c>
      <c r="N7" s="64" t="n">
        <v>-1416</v>
      </c>
      <c r="O7" s="64" t="n">
        <v>5613</v>
      </c>
      <c r="P7" s="64" t="n">
        <v>14873</v>
      </c>
      <c r="Q7" s="64" t="n">
        <v>107504</v>
      </c>
    </row>
    <row r="8" customFormat="false" ht="15" hidden="false" customHeight="false" outlineLevel="0" collapsed="false">
      <c r="B8" s="5" t="s">
        <v>39</v>
      </c>
      <c r="D8" s="60" t="n">
        <f aca="false">D7/D5</f>
        <v>0.20357103493883</v>
      </c>
      <c r="E8" s="60" t="n">
        <f aca="false">E7/E5</f>
        <v>0.332375596038636</v>
      </c>
      <c r="F8" s="60" t="n">
        <f aca="false">F7/F5</f>
        <v>0.322072628458498</v>
      </c>
      <c r="G8" s="60" t="n">
        <f aca="false">G7/G5</f>
        <v>0.202032421969514</v>
      </c>
      <c r="H8" s="60" t="n">
        <f aca="false">H7/H5</f>
        <v>0.415116622379687</v>
      </c>
      <c r="I8" s="60" t="n">
        <f aca="false">I7/I5</f>
        <v>0.588694021256293</v>
      </c>
      <c r="J8" s="60" t="n">
        <f aca="false">J7/J5</f>
        <v>0.457233188071435</v>
      </c>
      <c r="K8" s="60" t="n">
        <f aca="false">K7/K5</f>
        <v>0.305668299510147</v>
      </c>
      <c r="L8" s="60" t="n">
        <f aca="false">L7/L5</f>
        <v>0.376213679841184</v>
      </c>
      <c r="M8" s="60" t="n">
        <f aca="false">M7/M5</f>
        <v>0.451849925222706</v>
      </c>
      <c r="N8" s="60" t="n">
        <f aca="false">N7/N5</f>
        <v>-0.0911196911196911</v>
      </c>
      <c r="O8" s="60" t="n">
        <f aca="false">O7/O5</f>
        <v>0.223527537732468</v>
      </c>
      <c r="P8" s="60" t="n">
        <f aca="false">P7/P5</f>
        <v>0.397907860238643</v>
      </c>
      <c r="Q8" s="60" t="n">
        <f aca="false">Q7/Q5</f>
        <v>0.807159804186563</v>
      </c>
      <c r="S8" s="59" t="n">
        <f aca="false">AVERAGE(D8:P8)</f>
        <v>0.32193408650295</v>
      </c>
      <c r="T8" s="59" t="n">
        <f aca="false">MEDIAN(D8:P8)</f>
        <v>0.332375596038636</v>
      </c>
      <c r="U8" s="59" t="n">
        <f aca="false">AVERAGE(D8:H8,J8:L8,N8:P8)</f>
        <v>0.28587265255085</v>
      </c>
    </row>
    <row r="9" customFormat="false" ht="15" hidden="false" customHeight="false" outlineLevel="0" collapsed="false">
      <c r="B9" s="6" t="s">
        <v>42</v>
      </c>
      <c r="D9" s="64" t="n">
        <v>236</v>
      </c>
      <c r="E9" s="64" t="n">
        <v>3087</v>
      </c>
      <c r="F9" s="64" t="n">
        <v>2998</v>
      </c>
      <c r="G9" s="64" t="n">
        <v>168</v>
      </c>
      <c r="H9" s="64" t="n">
        <v>5868</v>
      </c>
      <c r="I9" s="64" t="n">
        <v>14994</v>
      </c>
      <c r="J9" s="64" t="n">
        <v>7376</v>
      </c>
      <c r="K9" s="64" t="n">
        <v>3003</v>
      </c>
      <c r="L9" s="64" t="n">
        <v>6283</v>
      </c>
      <c r="M9" s="64" t="n">
        <v>9702</v>
      </c>
      <c r="N9" s="64" t="n">
        <v>-5745</v>
      </c>
      <c r="O9" s="64" t="n">
        <v>1304</v>
      </c>
      <c r="P9" s="64" t="n">
        <v>9770</v>
      </c>
      <c r="Q9" s="64" t="n">
        <v>99340</v>
      </c>
    </row>
    <row r="10" customFormat="false" ht="15" hidden="false" customHeight="false" outlineLevel="0" collapsed="false">
      <c r="B10" s="5" t="s">
        <v>667</v>
      </c>
      <c r="D10" s="60" t="n">
        <f aca="false">D9/D5</f>
        <v>0.0260112421470297</v>
      </c>
      <c r="E10" s="60" t="n">
        <f aca="false">E9/E5</f>
        <v>0.188715001833965</v>
      </c>
      <c r="F10" s="60" t="n">
        <f aca="false">F9/F5</f>
        <v>0.185153162055336</v>
      </c>
      <c r="G10" s="60" t="n">
        <f aca="false">G9/G5</f>
        <v>0.0135494797967578</v>
      </c>
      <c r="H10" s="60" t="n">
        <f aca="false">H9/H5</f>
        <v>0.288751107174491</v>
      </c>
      <c r="I10" s="60" t="n">
        <f aca="false">I9/I5</f>
        <v>0.493369747622651</v>
      </c>
      <c r="J10" s="60" t="n">
        <f aca="false">J9/J5</f>
        <v>0.315132871913185</v>
      </c>
      <c r="K10" s="60" t="n">
        <f aca="false">K9/K5</f>
        <v>0.140097970608817</v>
      </c>
      <c r="L10" s="60" t="n">
        <f aca="false">L9/L5</f>
        <v>0.226782169283523</v>
      </c>
      <c r="M10" s="60" t="n">
        <f aca="false">M9/M5</f>
        <v>0.315430131998179</v>
      </c>
      <c r="N10" s="60" t="n">
        <f aca="false">N9/N5</f>
        <v>-0.36969111969112</v>
      </c>
      <c r="O10" s="60" t="n">
        <f aca="false">O9/O5</f>
        <v>0.0519294333160766</v>
      </c>
      <c r="P10" s="60" t="n">
        <f aca="false">P9/P5</f>
        <v>0.261383701642678</v>
      </c>
      <c r="Q10" s="60" t="n">
        <f aca="false">Q9/Q5</f>
        <v>0.745862990659819</v>
      </c>
      <c r="S10" s="59" t="n">
        <f aca="false">AVERAGE(D10:P10)</f>
        <v>0.164354992284736</v>
      </c>
      <c r="T10" s="59" t="n">
        <f aca="false">MEDIAN(D10:P10)</f>
        <v>0.188715001833965</v>
      </c>
      <c r="U10" s="59" t="n">
        <f aca="false">AVERAGE(D10:H10,J10:L10,N10:P10)</f>
        <v>0.120710456370976</v>
      </c>
    </row>
    <row r="11" customFormat="false" ht="15" hidden="false" customHeight="false" outlineLevel="0" collapsed="false">
      <c r="B11" s="6" t="s">
        <v>43</v>
      </c>
      <c r="D11" s="64" t="n">
        <v>1190</v>
      </c>
      <c r="E11" s="64" t="n">
        <v>3045</v>
      </c>
      <c r="F11" s="64" t="n">
        <v>2899</v>
      </c>
      <c r="G11" s="64" t="n">
        <v>-276</v>
      </c>
      <c r="H11" s="64" t="n">
        <v>5089</v>
      </c>
      <c r="I11" s="64" t="n">
        <v>14135</v>
      </c>
      <c r="J11" s="64" t="n">
        <v>6313</v>
      </c>
      <c r="K11" s="64" t="n">
        <v>2687</v>
      </c>
      <c r="L11" s="64" t="n">
        <v>5861</v>
      </c>
      <c r="M11" s="64" t="n">
        <v>8687</v>
      </c>
      <c r="N11" s="64" t="n">
        <v>-5833</v>
      </c>
      <c r="O11" s="64" t="n">
        <v>778</v>
      </c>
      <c r="P11" s="64" t="n">
        <v>8539</v>
      </c>
      <c r="Q11" s="64" t="n">
        <v>84969</v>
      </c>
      <c r="S11" s="66" t="n">
        <f aca="false">AVERAGE(D11:P11)</f>
        <v>4085.69230769231</v>
      </c>
      <c r="T11" s="66" t="n">
        <f aca="false">MEDIAN(D11:P11)</f>
        <v>3045</v>
      </c>
      <c r="U11" s="66" t="n">
        <f aca="false">AVERAGE(D11:H11,J11:L11,N11:P11)</f>
        <v>2753.81818181818</v>
      </c>
    </row>
    <row r="12" customFormat="false" ht="15" hidden="false" customHeight="false" outlineLevel="0" collapsed="false">
      <c r="B12" s="3" t="s">
        <v>259</v>
      </c>
      <c r="D12" s="14" t="n">
        <f aca="false">D11/D5</f>
        <v>0.131158382012565</v>
      </c>
      <c r="E12" s="14" t="n">
        <f aca="false">E11/E5</f>
        <v>0.186147450788605</v>
      </c>
      <c r="F12" s="14" t="n">
        <f aca="false">F11/F5</f>
        <v>0.179039031620553</v>
      </c>
      <c r="G12" s="14" t="n">
        <f aca="false">G11/G5</f>
        <v>-0.0222598596661021</v>
      </c>
      <c r="H12" s="14" t="n">
        <f aca="false">H11/H5</f>
        <v>0.250418265918709</v>
      </c>
      <c r="I12" s="14" t="n">
        <f aca="false">I11/I5</f>
        <v>0.465104800763384</v>
      </c>
      <c r="J12" s="14" t="n">
        <f aca="false">J11/J5</f>
        <v>0.269717166538494</v>
      </c>
      <c r="K12" s="14" t="n">
        <f aca="false">K11/K5</f>
        <v>0.125355726615349</v>
      </c>
      <c r="L12" s="14" t="n">
        <f aca="false">L11/L5</f>
        <v>0.211550261685616</v>
      </c>
      <c r="M12" s="14" t="n">
        <f aca="false">M11/M5</f>
        <v>0.282430587164315</v>
      </c>
      <c r="N12" s="14" t="n">
        <f aca="false">N11/N5</f>
        <v>-0.375353925353925</v>
      </c>
      <c r="O12" s="14" t="n">
        <f aca="false">O11/O5</f>
        <v>0.0309824379753893</v>
      </c>
      <c r="P12" s="14" t="n">
        <f aca="false">P11/P5</f>
        <v>0.228449890309808</v>
      </c>
      <c r="Q12" s="14" t="n">
        <f aca="false">Q11/Q5</f>
        <v>0.637962879538697</v>
      </c>
      <c r="S12" s="59" t="n">
        <f aca="false">AVERAGE(D12:P12)</f>
        <v>0.150980016644058</v>
      </c>
      <c r="T12" s="59" t="n">
        <f aca="false">MEDIAN(D12:P12)</f>
        <v>0.186147450788605</v>
      </c>
      <c r="U12" s="59" t="n">
        <f aca="false">AVERAGE(D12:H12,J12:L12,N12:P12)</f>
        <v>0.110473166222278</v>
      </c>
    </row>
    <row r="13" customFormat="false" ht="15" hidden="false" customHeight="false" outlineLevel="0" collapsed="false">
      <c r="B13" s="6" t="s">
        <v>668</v>
      </c>
      <c r="D13" s="64" t="n">
        <v>1244</v>
      </c>
      <c r="E13" s="64" t="n">
        <v>2658</v>
      </c>
      <c r="F13" s="64" t="n">
        <v>4021</v>
      </c>
      <c r="G13" s="64" t="n">
        <v>5817</v>
      </c>
      <c r="H13" s="64" t="n">
        <v>4734</v>
      </c>
      <c r="I13" s="64" t="n">
        <v>8879</v>
      </c>
      <c r="J13" s="64" t="n">
        <v>9780</v>
      </c>
      <c r="K13" s="64" t="n">
        <v>8223</v>
      </c>
      <c r="L13" s="64" t="n">
        <v>10030</v>
      </c>
      <c r="M13" s="64" t="n">
        <v>12067</v>
      </c>
      <c r="N13" s="64" t="n">
        <v>7676</v>
      </c>
      <c r="O13" s="64" t="n">
        <v>8386</v>
      </c>
      <c r="P13" s="64" t="n">
        <v>15857</v>
      </c>
      <c r="Q13" s="64" t="n">
        <v>30712</v>
      </c>
      <c r="S13" s="66" t="n">
        <f aca="false">AVERAGE(D13:P13)</f>
        <v>7644</v>
      </c>
      <c r="T13" s="66" t="n">
        <f aca="false">MEDIAN(D13:P13)</f>
        <v>8223</v>
      </c>
      <c r="U13" s="66" t="n">
        <f aca="false">AVERAGE(D13:H13,J13:L13,N13:P13)</f>
        <v>7129.63636363636</v>
      </c>
    </row>
    <row r="14" customFormat="false" ht="15" hidden="false" customHeight="false" outlineLevel="0" collapsed="false">
      <c r="B14" s="5" t="s">
        <v>356</v>
      </c>
      <c r="D14" s="60" t="n">
        <f aca="false">D13/D5</f>
        <v>0.137110106910614</v>
      </c>
      <c r="E14" s="60" t="n">
        <f aca="false">E13/E5</f>
        <v>0.162489301870644</v>
      </c>
      <c r="F14" s="60" t="n">
        <f aca="false">F13/F5</f>
        <v>0.248332509881423</v>
      </c>
      <c r="G14" s="60" t="n">
        <f aca="false">G13/G5</f>
        <v>0.469150737962739</v>
      </c>
      <c r="H14" s="60" t="n">
        <f aca="false">H13/H5</f>
        <v>0.232949512843224</v>
      </c>
      <c r="I14" s="60" t="n">
        <f aca="false">I13/I5</f>
        <v>0.29215886282123</v>
      </c>
      <c r="J14" s="60" t="n">
        <f aca="false">J13/J5</f>
        <v>0.417841579082287</v>
      </c>
      <c r="K14" s="60" t="n">
        <f aca="false">K13/K5</f>
        <v>0.383624912526242</v>
      </c>
      <c r="L14" s="60" t="n">
        <f aca="false">L13/L5</f>
        <v>0.362028514708536</v>
      </c>
      <c r="M14" s="60" t="n">
        <f aca="false">M13/M5</f>
        <v>0.392320697054425</v>
      </c>
      <c r="N14" s="60" t="n">
        <f aca="false">N13/N5</f>
        <v>0.493951093951094</v>
      </c>
      <c r="O14" s="60" t="n">
        <f aca="false">O13/O5</f>
        <v>0.333957229899247</v>
      </c>
      <c r="P14" s="60" t="n">
        <f aca="false">P13/P5</f>
        <v>0.424233506340628</v>
      </c>
      <c r="Q14" s="60" t="n">
        <f aca="false">Q13/Q5</f>
        <v>0.230591344565576</v>
      </c>
      <c r="S14" s="59" t="n">
        <f aca="false">AVERAGE(D14:P14)</f>
        <v>0.334626812757872</v>
      </c>
      <c r="T14" s="59" t="n">
        <f aca="false">MEDIAN(D14:P14)</f>
        <v>0.362028514708536</v>
      </c>
      <c r="U14" s="59" t="n">
        <f aca="false">AVERAGE(D14:H14,J14:L14,N14:P14)</f>
        <v>0.333242636906971</v>
      </c>
    </row>
    <row r="15" customFormat="false" ht="15" hidden="false" customHeight="false" outlineLevel="0" collapsed="false">
      <c r="B15" s="6" t="s">
        <v>316</v>
      </c>
      <c r="D15" s="64" t="n">
        <v>1811</v>
      </c>
      <c r="E15" s="64" t="n">
        <v>5699</v>
      </c>
      <c r="F15" s="64" t="n">
        <v>5208</v>
      </c>
      <c r="G15" s="64" t="n">
        <v>3168</v>
      </c>
      <c r="H15" s="64" t="n">
        <v>8153</v>
      </c>
      <c r="I15" s="64" t="n">
        <v>17400</v>
      </c>
      <c r="J15" s="64" t="n">
        <v>13189</v>
      </c>
      <c r="K15" s="64" t="n">
        <v>8306</v>
      </c>
      <c r="L15" s="64" t="n">
        <v>12470</v>
      </c>
      <c r="M15" s="64" t="n">
        <v>15181</v>
      </c>
      <c r="N15" s="64" t="n">
        <v>1559</v>
      </c>
      <c r="O15" s="64" t="n">
        <v>8507</v>
      </c>
      <c r="P15" s="64" t="n">
        <v>17525</v>
      </c>
      <c r="Q15" s="64" t="n">
        <v>89675</v>
      </c>
      <c r="S15" s="66" t="n">
        <f aca="false">AVERAGE(D15:P15)</f>
        <v>9090.46153846154</v>
      </c>
      <c r="T15" s="66" t="n">
        <f aca="false">MEDIAN(D15:P15)</f>
        <v>8306</v>
      </c>
      <c r="U15" s="66" t="n">
        <f aca="false">AVERAGE(D15:H15,J15:L15,N15:P15)</f>
        <v>7781.36363636364</v>
      </c>
    </row>
    <row r="16" customFormat="false" ht="15" hidden="false" customHeight="false" outlineLevel="0" collapsed="false">
      <c r="B16" s="6" t="s">
        <v>669</v>
      </c>
      <c r="D16" s="66" t="n">
        <f aca="false">D15-D13</f>
        <v>567</v>
      </c>
      <c r="E16" s="66" t="n">
        <f aca="false">E15-E13</f>
        <v>3041</v>
      </c>
      <c r="F16" s="66" t="n">
        <f aca="false">F15-F13</f>
        <v>1187</v>
      </c>
      <c r="G16" s="66" t="n">
        <f aca="false">G15-G13</f>
        <v>-2649</v>
      </c>
      <c r="H16" s="66" t="n">
        <f aca="false">H15-H13</f>
        <v>3419</v>
      </c>
      <c r="I16" s="66" t="n">
        <f aca="false">I15-I13</f>
        <v>8521</v>
      </c>
      <c r="J16" s="66" t="n">
        <f aca="false">J15-J13</f>
        <v>3409</v>
      </c>
      <c r="K16" s="66" t="n">
        <f aca="false">K15-K13</f>
        <v>83</v>
      </c>
      <c r="L16" s="66" t="n">
        <f aca="false">L15-L13</f>
        <v>2440</v>
      </c>
      <c r="M16" s="66" t="n">
        <f aca="false">M15-M13</f>
        <v>3114</v>
      </c>
      <c r="N16" s="66" t="n">
        <f aca="false">N15-N13</f>
        <v>-6117</v>
      </c>
      <c r="O16" s="66" t="n">
        <f aca="false">O15-O13</f>
        <v>121</v>
      </c>
      <c r="P16" s="66" t="n">
        <f aca="false">P15-P13</f>
        <v>1668</v>
      </c>
      <c r="Q16" s="66" t="n">
        <f aca="false">Q15-Q13</f>
        <v>58963</v>
      </c>
      <c r="S16" s="66" t="n">
        <f aca="false">AVERAGE(D16:P16)</f>
        <v>1446.46153846154</v>
      </c>
      <c r="T16" s="66" t="n">
        <f aca="false">MEDIAN(D16:P16)</f>
        <v>1668</v>
      </c>
      <c r="U16" s="66" t="n">
        <f aca="false">AVERAGE(D16:H16,J16:L16,N16:P16)</f>
        <v>651.727272727273</v>
      </c>
    </row>
    <row r="17" customFormat="false" ht="15" hidden="false" customHeight="false" outlineLevel="0" collapsed="false">
      <c r="B17" s="3" t="s">
        <v>670</v>
      </c>
      <c r="D17" s="69" t="n">
        <v>0.481</v>
      </c>
      <c r="E17" s="69" t="n">
        <v>0.682</v>
      </c>
      <c r="F17" s="69" t="n">
        <v>0.64</v>
      </c>
      <c r="G17" s="69" t="n">
        <v>0.581</v>
      </c>
      <c r="H17" s="69" t="n">
        <v>0.638</v>
      </c>
      <c r="I17" s="69" t="n">
        <v>0.699</v>
      </c>
      <c r="J17" s="69" t="n">
        <v>0.65</v>
      </c>
      <c r="K17" s="69" t="n">
        <v>0.677</v>
      </c>
      <c r="L17" s="69" t="n">
        <v>0.723</v>
      </c>
      <c r="M17" s="69" t="n">
        <v>0.728</v>
      </c>
      <c r="N17" s="69" t="n">
        <v>0.706</v>
      </c>
      <c r="O17" s="69" t="n">
        <v>0.701</v>
      </c>
      <c r="P17" s="69" t="n">
        <v>0.765</v>
      </c>
      <c r="Q17" s="69" t="n">
        <v>0.756</v>
      </c>
    </row>
    <row r="18" customFormat="false" ht="15" hidden="false" customHeight="false" outlineLevel="0" collapsed="false">
      <c r="B18" s="3" t="s">
        <v>671</v>
      </c>
      <c r="D18" s="29"/>
      <c r="E18" s="29"/>
      <c r="F18" s="29" t="s">
        <v>672</v>
      </c>
      <c r="G18" s="29"/>
      <c r="H18" s="29"/>
      <c r="I18" s="29"/>
      <c r="J18" s="29" t="s">
        <v>228</v>
      </c>
      <c r="K18" s="29" t="s">
        <v>672</v>
      </c>
      <c r="L18" s="29" t="s">
        <v>228</v>
      </c>
      <c r="M18" s="29"/>
      <c r="N18" s="29"/>
      <c r="O18" s="29" t="s">
        <v>228</v>
      </c>
      <c r="P18" s="29"/>
      <c r="Q18" s="29" t="s">
        <v>673</v>
      </c>
      <c r="U18" s="29" t="s">
        <v>674</v>
      </c>
    </row>
    <row r="20" customFormat="false" ht="15" hidden="false" customHeight="false" outlineLevel="0" collapsed="false">
      <c r="B20" s="4" t="s">
        <v>675</v>
      </c>
    </row>
    <row r="21" customFormat="false" ht="27.75" hidden="false" customHeight="true" outlineLevel="0" collapsed="false">
      <c r="B21" s="41" t="s">
        <v>676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</row>
    <row r="22" customFormat="false" ht="27.75" hidden="false" customHeight="true" outlineLevel="0" collapsed="false">
      <c r="B22" s="41" t="s">
        <v>677</v>
      </c>
      <c r="C22" s="41"/>
      <c r="D22" s="41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1"/>
      <c r="Q22" s="41"/>
      <c r="R22" s="41"/>
    </row>
    <row r="23" customFormat="false" ht="40.5" hidden="false" customHeight="true" outlineLevel="0" collapsed="false">
      <c r="B23" s="41" t="s">
        <v>678</v>
      </c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R23" s="41"/>
    </row>
    <row r="24" customFormat="false" ht="15" hidden="false" customHeight="true" outlineLevel="0" collapsed="false">
      <c r="B24" s="41" t="s">
        <v>679</v>
      </c>
      <c r="C24" s="41"/>
      <c r="D24" s="41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1"/>
      <c r="Q24" s="41"/>
      <c r="R24" s="41"/>
    </row>
    <row r="25" customFormat="false" ht="40.5" hidden="false" customHeight="true" outlineLevel="0" collapsed="false">
      <c r="B25" s="41" t="s">
        <v>680</v>
      </c>
      <c r="C25" s="41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</row>
    <row r="26" customFormat="false" ht="27.75" hidden="false" customHeight="true" outlineLevel="0" collapsed="false">
      <c r="B26" s="41" t="s">
        <v>681</v>
      </c>
      <c r="C26" s="41"/>
      <c r="D26" s="41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1"/>
      <c r="Q26" s="41"/>
      <c r="R26" s="41"/>
    </row>
    <row r="27" customFormat="false" ht="40.5" hidden="false" customHeight="true" outlineLevel="0" collapsed="false">
      <c r="B27" s="41" t="s">
        <v>682</v>
      </c>
      <c r="C27" s="41"/>
      <c r="D27" s="41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1"/>
      <c r="Q27" s="41"/>
      <c r="R27" s="41"/>
    </row>
    <row r="28" customFormat="false" ht="27.75" hidden="false" customHeight="true" outlineLevel="0" collapsed="false">
      <c r="B28" s="41" t="s">
        <v>683</v>
      </c>
      <c r="C28" s="41"/>
      <c r="D28" s="41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1"/>
      <c r="Q28" s="41"/>
      <c r="R28" s="41"/>
    </row>
    <row r="29" customFormat="false" ht="27.75" hidden="false" customHeight="true" outlineLevel="0" collapsed="false">
      <c r="B29" s="41" t="s">
        <v>684</v>
      </c>
      <c r="C29" s="41"/>
      <c r="D29" s="41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1"/>
      <c r="Q29" s="41"/>
      <c r="R29" s="41"/>
    </row>
    <row r="30" customFormat="false" ht="27.75" hidden="false" customHeight="true" outlineLevel="0" collapsed="false">
      <c r="B30" s="41" t="s">
        <v>685</v>
      </c>
      <c r="C30" s="41"/>
      <c r="D30" s="41"/>
      <c r="E30" s="41"/>
      <c r="F30" s="41"/>
      <c r="G30" s="41"/>
      <c r="H30" s="41"/>
      <c r="I30" s="41"/>
      <c r="J30" s="41"/>
      <c r="K30" s="41"/>
      <c r="L30" s="41"/>
      <c r="M30" s="41"/>
      <c r="N30" s="41"/>
      <c r="O30" s="41"/>
      <c r="P30" s="41"/>
      <c r="Q30" s="41"/>
      <c r="R30" s="41"/>
    </row>
    <row r="31" customFormat="false" ht="27.75" hidden="false" customHeight="true" outlineLevel="0" collapsed="false">
      <c r="B31" s="41" t="s">
        <v>686</v>
      </c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N31" s="41"/>
      <c r="O31" s="41"/>
      <c r="P31" s="41"/>
      <c r="Q31" s="41"/>
      <c r="R31" s="41"/>
    </row>
    <row r="32" customFormat="false" ht="27.75" hidden="false" customHeight="true" outlineLevel="0" collapsed="false">
      <c r="B32" s="41" t="s">
        <v>687</v>
      </c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N32" s="41"/>
      <c r="O32" s="41"/>
      <c r="P32" s="41"/>
      <c r="Q32" s="41"/>
      <c r="R32" s="41"/>
    </row>
    <row r="33" customFormat="false" ht="15" hidden="false" customHeight="true" outlineLevel="0" collapsed="false">
      <c r="B33" s="41" t="s">
        <v>688</v>
      </c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N33" s="41"/>
      <c r="O33" s="41"/>
      <c r="P33" s="41"/>
      <c r="Q33" s="41"/>
      <c r="R33" s="41"/>
    </row>
    <row r="34" customFormat="false" ht="27.75" hidden="false" customHeight="true" outlineLevel="0" collapsed="false">
      <c r="B34" s="41" t="s">
        <v>689</v>
      </c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</row>
    <row r="36" customFormat="false" ht="27.75" hidden="false" customHeight="true" outlineLevel="0" collapsed="false">
      <c r="B36" s="101" t="s">
        <v>690</v>
      </c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  <c r="O36" s="101"/>
      <c r="P36" s="101"/>
      <c r="Q36" s="101"/>
      <c r="R36" s="101"/>
    </row>
  </sheetData>
  <mergeCells count="15">
    <mergeCell ref="B21:R21"/>
    <mergeCell ref="B22:R22"/>
    <mergeCell ref="B23:R23"/>
    <mergeCell ref="B24:R24"/>
    <mergeCell ref="B25:R25"/>
    <mergeCell ref="B26:R26"/>
    <mergeCell ref="B27:R27"/>
    <mergeCell ref="B28:R28"/>
    <mergeCell ref="B29:R29"/>
    <mergeCell ref="B30:R30"/>
    <mergeCell ref="B31:R31"/>
    <mergeCell ref="B32:R32"/>
    <mergeCell ref="B33:R33"/>
    <mergeCell ref="B34:R34"/>
    <mergeCell ref="B36:R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63"/>
  <sheetViews>
    <sheetView showFormulas="false" showGridLines="fals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0"/>
    <col collapsed="false" customWidth="true" hidden="false" outlineLevel="0" max="3" min="3" style="1" width="9"/>
    <col collapsed="false" customWidth="true" hidden="false" outlineLevel="0" max="12" min="4" style="1" width="10"/>
  </cols>
  <sheetData>
    <row r="1" customFormat="false" ht="15" hidden="false" customHeight="false" outlineLevel="0" collapsed="false">
      <c r="B1" s="2" t="s">
        <v>691</v>
      </c>
    </row>
    <row r="2" customFormat="false" ht="15" hidden="false" customHeight="false" outlineLevel="0" collapsed="false">
      <c r="B2" s="3" t="s">
        <v>692</v>
      </c>
    </row>
    <row r="4" customFormat="false" ht="15" hidden="false" customHeight="false" outlineLevel="0" collapsed="false">
      <c r="B4" s="4" t="s">
        <v>693</v>
      </c>
    </row>
    <row r="5" customFormat="false" ht="15" hidden="false" customHeight="false" outlineLevel="0" collapsed="false">
      <c r="B5" s="6" t="s">
        <v>694</v>
      </c>
    </row>
    <row r="6" customFormat="false" ht="40.5" hidden="false" customHeight="true" outlineLevel="0" collapsed="false">
      <c r="B6" s="41" t="s">
        <v>695</v>
      </c>
      <c r="C6" s="41"/>
      <c r="D6" s="41"/>
      <c r="E6" s="41"/>
      <c r="F6" s="41"/>
      <c r="G6" s="41"/>
      <c r="H6" s="41"/>
      <c r="I6" s="41"/>
      <c r="J6" s="41"/>
      <c r="K6" s="41"/>
      <c r="L6" s="41"/>
    </row>
    <row r="8" customFormat="false" ht="15" hidden="false" customHeight="false" outlineLevel="0" collapsed="false">
      <c r="B8" s="4" t="s">
        <v>696</v>
      </c>
    </row>
    <row r="9" customFormat="false" ht="15" hidden="false" customHeight="false" outlineLevel="0" collapsed="false">
      <c r="B9" s="70" t="s">
        <v>697</v>
      </c>
    </row>
    <row r="10" customFormat="false" ht="15" hidden="false" customHeight="false" outlineLevel="0" collapsed="false">
      <c r="B10" s="6" t="s">
        <v>698</v>
      </c>
    </row>
    <row r="11" customFormat="false" ht="15" hidden="false" customHeight="false" outlineLevel="0" collapsed="false">
      <c r="B11" s="102" t="s">
        <v>699</v>
      </c>
    </row>
    <row r="12" customFormat="false" ht="15" hidden="false" customHeight="false" outlineLevel="0" collapsed="false">
      <c r="B12" s="3" t="s">
        <v>700</v>
      </c>
    </row>
    <row r="13" customFormat="false" ht="15" hidden="false" customHeight="false" outlineLevel="0" collapsed="false">
      <c r="B13" s="103" t="s">
        <v>701</v>
      </c>
    </row>
    <row r="14" customFormat="false" ht="15" hidden="false" customHeight="false" outlineLevel="0" collapsed="false">
      <c r="B14" s="3" t="s">
        <v>702</v>
      </c>
    </row>
    <row r="16" customFormat="false" ht="15" hidden="false" customHeight="false" outlineLevel="0" collapsed="false">
      <c r="B16" s="4" t="s">
        <v>703</v>
      </c>
    </row>
    <row r="17" customFormat="false" ht="15" hidden="false" customHeight="false" outlineLevel="0" collapsed="false">
      <c r="B17" s="6" t="s">
        <v>704</v>
      </c>
      <c r="I17" s="3" t="s">
        <v>705</v>
      </c>
    </row>
    <row r="18" customFormat="false" ht="15" hidden="false" customHeight="false" outlineLevel="0" collapsed="false">
      <c r="B18" s="6" t="s">
        <v>706</v>
      </c>
      <c r="I18" s="3" t="s">
        <v>707</v>
      </c>
    </row>
    <row r="19" customFormat="false" ht="15" hidden="false" customHeight="false" outlineLevel="0" collapsed="false">
      <c r="B19" s="6" t="s">
        <v>708</v>
      </c>
      <c r="I19" s="3" t="s">
        <v>709</v>
      </c>
    </row>
    <row r="20" customFormat="false" ht="15" hidden="false" customHeight="false" outlineLevel="0" collapsed="false">
      <c r="B20" s="6" t="s">
        <v>710</v>
      </c>
      <c r="I20" s="3" t="s">
        <v>711</v>
      </c>
    </row>
    <row r="21" customFormat="false" ht="15" hidden="false" customHeight="false" outlineLevel="0" collapsed="false">
      <c r="B21" s="6" t="s">
        <v>712</v>
      </c>
      <c r="I21" s="3" t="s">
        <v>713</v>
      </c>
    </row>
    <row r="22" customFormat="false" ht="15" hidden="false" customHeight="false" outlineLevel="0" collapsed="false">
      <c r="B22" s="6" t="s">
        <v>714</v>
      </c>
      <c r="I22" s="3" t="s">
        <v>715</v>
      </c>
    </row>
    <row r="23" customFormat="false" ht="15" hidden="false" customHeight="false" outlineLevel="0" collapsed="false">
      <c r="B23" s="6" t="s">
        <v>716</v>
      </c>
      <c r="I23" s="3" t="s">
        <v>717</v>
      </c>
    </row>
    <row r="24" customFormat="false" ht="15" hidden="false" customHeight="false" outlineLevel="0" collapsed="false">
      <c r="B24" s="6" t="s">
        <v>718</v>
      </c>
      <c r="I24" s="3" t="s">
        <v>719</v>
      </c>
    </row>
    <row r="25" customFormat="false" ht="15" hidden="false" customHeight="false" outlineLevel="0" collapsed="false">
      <c r="B25" s="6" t="s">
        <v>720</v>
      </c>
      <c r="I25" s="3" t="s">
        <v>721</v>
      </c>
    </row>
    <row r="26" customFormat="false" ht="15" hidden="false" customHeight="false" outlineLevel="0" collapsed="false">
      <c r="B26" s="6" t="s">
        <v>722</v>
      </c>
      <c r="I26" s="3" t="s">
        <v>723</v>
      </c>
    </row>
    <row r="27" customFormat="false" ht="15" hidden="false" customHeight="false" outlineLevel="0" collapsed="false">
      <c r="B27" s="6" t="s">
        <v>724</v>
      </c>
      <c r="I27" s="3" t="s">
        <v>725</v>
      </c>
    </row>
    <row r="28" customFormat="false" ht="15" hidden="false" customHeight="false" outlineLevel="0" collapsed="false">
      <c r="B28" s="6" t="s">
        <v>726</v>
      </c>
      <c r="I28" s="3" t="s">
        <v>727</v>
      </c>
    </row>
    <row r="29" customFormat="false" ht="15" hidden="false" customHeight="false" outlineLevel="0" collapsed="false">
      <c r="B29" s="6" t="s">
        <v>728</v>
      </c>
      <c r="I29" s="3" t="s">
        <v>729</v>
      </c>
    </row>
    <row r="30" customFormat="false" ht="15" hidden="false" customHeight="false" outlineLevel="0" collapsed="false">
      <c r="B30" s="6" t="s">
        <v>730</v>
      </c>
      <c r="I30" s="3" t="s">
        <v>731</v>
      </c>
    </row>
    <row r="31" customFormat="false" ht="15" hidden="false" customHeight="false" outlineLevel="0" collapsed="false">
      <c r="B31" s="6" t="s">
        <v>732</v>
      </c>
      <c r="I31" s="3" t="s">
        <v>733</v>
      </c>
    </row>
    <row r="32" customFormat="false" ht="15" hidden="false" customHeight="false" outlineLevel="0" collapsed="false">
      <c r="B32" s="6" t="s">
        <v>734</v>
      </c>
    </row>
    <row r="34" customFormat="false" ht="15" hidden="false" customHeight="false" outlineLevel="0" collapsed="false">
      <c r="B34" s="4" t="s">
        <v>735</v>
      </c>
    </row>
    <row r="35" customFormat="false" ht="27.75" hidden="false" customHeight="true" outlineLevel="0" collapsed="false">
      <c r="B35" s="41" t="s">
        <v>736</v>
      </c>
      <c r="C35" s="41"/>
      <c r="D35" s="41"/>
      <c r="E35" s="41"/>
      <c r="F35" s="41"/>
      <c r="G35" s="41"/>
      <c r="H35" s="41"/>
      <c r="I35" s="41"/>
      <c r="J35" s="41"/>
      <c r="K35" s="41"/>
      <c r="L35" s="41"/>
    </row>
    <row r="36" customFormat="false" ht="27.75" hidden="false" customHeight="true" outlineLevel="0" collapsed="false">
      <c r="B36" s="41" t="s">
        <v>737</v>
      </c>
      <c r="C36" s="41"/>
      <c r="D36" s="41"/>
      <c r="E36" s="41"/>
      <c r="F36" s="41"/>
      <c r="G36" s="41"/>
      <c r="H36" s="41"/>
      <c r="I36" s="41"/>
      <c r="J36" s="41"/>
      <c r="K36" s="41"/>
      <c r="L36" s="41"/>
    </row>
    <row r="37" customFormat="false" ht="27.75" hidden="false" customHeight="true" outlineLevel="0" collapsed="false">
      <c r="B37" s="41" t="s">
        <v>738</v>
      </c>
      <c r="C37" s="41"/>
      <c r="D37" s="41"/>
      <c r="E37" s="41"/>
      <c r="F37" s="41"/>
      <c r="G37" s="41"/>
      <c r="H37" s="41"/>
      <c r="I37" s="41"/>
      <c r="J37" s="41"/>
      <c r="K37" s="41"/>
      <c r="L37" s="41"/>
    </row>
    <row r="38" customFormat="false" ht="27.75" hidden="false" customHeight="true" outlineLevel="0" collapsed="false">
      <c r="B38" s="41" t="s">
        <v>739</v>
      </c>
      <c r="C38" s="41"/>
      <c r="D38" s="41"/>
      <c r="E38" s="41"/>
      <c r="F38" s="41"/>
      <c r="G38" s="41"/>
      <c r="H38" s="41"/>
      <c r="I38" s="41"/>
      <c r="J38" s="41"/>
      <c r="K38" s="41"/>
      <c r="L38" s="41"/>
    </row>
    <row r="39" customFormat="false" ht="27.75" hidden="false" customHeight="true" outlineLevel="0" collapsed="false">
      <c r="B39" s="41" t="s">
        <v>740</v>
      </c>
      <c r="C39" s="41"/>
      <c r="D39" s="41"/>
      <c r="E39" s="41"/>
      <c r="F39" s="41"/>
      <c r="G39" s="41"/>
      <c r="H39" s="41"/>
      <c r="I39" s="41"/>
      <c r="J39" s="41"/>
      <c r="K39" s="41"/>
      <c r="L39" s="41"/>
    </row>
    <row r="40" customFormat="false" ht="27.75" hidden="false" customHeight="true" outlineLevel="0" collapsed="false">
      <c r="B40" s="41" t="s">
        <v>741</v>
      </c>
      <c r="C40" s="41"/>
      <c r="D40" s="41"/>
      <c r="E40" s="41"/>
      <c r="F40" s="41"/>
      <c r="G40" s="41"/>
      <c r="H40" s="41"/>
      <c r="I40" s="41"/>
      <c r="J40" s="41"/>
      <c r="K40" s="41"/>
      <c r="L40" s="41"/>
    </row>
    <row r="41" customFormat="false" ht="27.75" hidden="false" customHeight="true" outlineLevel="0" collapsed="false">
      <c r="B41" s="41" t="s">
        <v>742</v>
      </c>
      <c r="C41" s="41"/>
      <c r="D41" s="41"/>
      <c r="E41" s="41"/>
      <c r="F41" s="41"/>
      <c r="G41" s="41"/>
      <c r="H41" s="41"/>
      <c r="I41" s="41"/>
      <c r="J41" s="41"/>
      <c r="K41" s="41"/>
      <c r="L41" s="41"/>
    </row>
    <row r="42" customFormat="false" ht="27.75" hidden="false" customHeight="true" outlineLevel="0" collapsed="false">
      <c r="B42" s="41" t="s">
        <v>743</v>
      </c>
      <c r="C42" s="41"/>
      <c r="D42" s="41"/>
      <c r="E42" s="41"/>
      <c r="F42" s="41"/>
      <c r="G42" s="41"/>
      <c r="H42" s="41"/>
      <c r="I42" s="41"/>
      <c r="J42" s="41"/>
      <c r="K42" s="41"/>
      <c r="L42" s="41"/>
    </row>
    <row r="43" customFormat="false" ht="15" hidden="false" customHeight="true" outlineLevel="0" collapsed="false">
      <c r="B43" s="41" t="s">
        <v>744</v>
      </c>
      <c r="C43" s="41"/>
      <c r="D43" s="41"/>
      <c r="E43" s="41"/>
      <c r="F43" s="41"/>
      <c r="G43" s="41"/>
      <c r="H43" s="41"/>
      <c r="I43" s="41"/>
      <c r="J43" s="41"/>
      <c r="K43" s="41"/>
      <c r="L43" s="41"/>
    </row>
    <row r="45" customFormat="false" ht="15" hidden="false" customHeight="false" outlineLevel="0" collapsed="false">
      <c r="B45" s="4" t="s">
        <v>745</v>
      </c>
    </row>
    <row r="46" customFormat="false" ht="27.75" hidden="false" customHeight="true" outlineLevel="0" collapsed="false">
      <c r="B46" s="41" t="s">
        <v>746</v>
      </c>
      <c r="C46" s="41"/>
      <c r="D46" s="41"/>
      <c r="E46" s="41"/>
      <c r="F46" s="41"/>
      <c r="G46" s="41"/>
      <c r="H46" s="41"/>
      <c r="I46" s="41"/>
      <c r="J46" s="41"/>
      <c r="K46" s="41"/>
      <c r="L46" s="41"/>
    </row>
    <row r="47" customFormat="false" ht="15" hidden="false" customHeight="true" outlineLevel="0" collapsed="false">
      <c r="B47" s="41" t="s">
        <v>747</v>
      </c>
      <c r="C47" s="41"/>
      <c r="D47" s="41"/>
      <c r="E47" s="41"/>
      <c r="F47" s="41"/>
      <c r="G47" s="41"/>
      <c r="H47" s="41"/>
      <c r="I47" s="41"/>
      <c r="J47" s="41"/>
      <c r="K47" s="41"/>
      <c r="L47" s="41"/>
    </row>
    <row r="48" customFormat="false" ht="27.75" hidden="false" customHeight="true" outlineLevel="0" collapsed="false">
      <c r="B48" s="41" t="s">
        <v>748</v>
      </c>
      <c r="C48" s="41"/>
      <c r="D48" s="41"/>
      <c r="E48" s="41"/>
      <c r="F48" s="41"/>
      <c r="G48" s="41"/>
      <c r="H48" s="41"/>
      <c r="I48" s="41"/>
      <c r="J48" s="41"/>
      <c r="K48" s="41"/>
      <c r="L48" s="41"/>
    </row>
    <row r="49" customFormat="false" ht="27.75" hidden="false" customHeight="true" outlineLevel="0" collapsed="false">
      <c r="B49" s="41" t="s">
        <v>749</v>
      </c>
      <c r="C49" s="41"/>
      <c r="D49" s="41"/>
      <c r="E49" s="41"/>
      <c r="F49" s="41"/>
      <c r="G49" s="41"/>
      <c r="H49" s="41"/>
      <c r="I49" s="41"/>
      <c r="J49" s="41"/>
      <c r="K49" s="41"/>
      <c r="L49" s="41"/>
    </row>
    <row r="50" customFormat="false" ht="27.75" hidden="false" customHeight="true" outlineLevel="0" collapsed="false">
      <c r="B50" s="41" t="s">
        <v>750</v>
      </c>
      <c r="C50" s="41"/>
      <c r="D50" s="41"/>
      <c r="E50" s="41"/>
      <c r="F50" s="41"/>
      <c r="G50" s="41"/>
      <c r="H50" s="41"/>
      <c r="I50" s="41"/>
      <c r="J50" s="41"/>
      <c r="K50" s="41"/>
      <c r="L50" s="41"/>
    </row>
    <row r="51" customFormat="false" ht="27.75" hidden="false" customHeight="true" outlineLevel="0" collapsed="false">
      <c r="B51" s="41" t="s">
        <v>751</v>
      </c>
      <c r="C51" s="41"/>
      <c r="D51" s="41"/>
      <c r="E51" s="41"/>
      <c r="F51" s="41"/>
      <c r="G51" s="41"/>
      <c r="H51" s="41"/>
      <c r="I51" s="41"/>
      <c r="J51" s="41"/>
      <c r="K51" s="41"/>
      <c r="L51" s="41"/>
    </row>
    <row r="52" customFormat="false" ht="27.75" hidden="false" customHeight="true" outlineLevel="0" collapsed="false">
      <c r="B52" s="41" t="s">
        <v>752</v>
      </c>
      <c r="C52" s="41"/>
      <c r="D52" s="41"/>
      <c r="E52" s="41"/>
      <c r="F52" s="41"/>
      <c r="G52" s="41"/>
      <c r="H52" s="41"/>
      <c r="I52" s="41"/>
      <c r="J52" s="41"/>
      <c r="K52" s="41"/>
      <c r="L52" s="41"/>
    </row>
    <row r="53" customFormat="false" ht="15" hidden="false" customHeight="true" outlineLevel="0" collapsed="false">
      <c r="B53" s="41" t="s">
        <v>753</v>
      </c>
      <c r="C53" s="41"/>
      <c r="D53" s="41"/>
      <c r="E53" s="41"/>
      <c r="F53" s="41"/>
      <c r="G53" s="41"/>
      <c r="H53" s="41"/>
      <c r="I53" s="41"/>
      <c r="J53" s="41"/>
      <c r="K53" s="41"/>
      <c r="L53" s="41"/>
    </row>
    <row r="54" customFormat="false" ht="27.75" hidden="false" customHeight="true" outlineLevel="0" collapsed="false">
      <c r="B54" s="41" t="s">
        <v>754</v>
      </c>
      <c r="C54" s="41"/>
      <c r="D54" s="41"/>
      <c r="E54" s="41"/>
      <c r="F54" s="41"/>
      <c r="G54" s="41"/>
      <c r="H54" s="41"/>
      <c r="I54" s="41"/>
      <c r="J54" s="41"/>
      <c r="K54" s="41"/>
      <c r="L54" s="41"/>
    </row>
    <row r="55" customFormat="false" ht="15" hidden="false" customHeight="true" outlineLevel="0" collapsed="false">
      <c r="B55" s="41" t="s">
        <v>755</v>
      </c>
      <c r="C55" s="41"/>
      <c r="D55" s="41"/>
      <c r="E55" s="41"/>
      <c r="F55" s="41"/>
      <c r="G55" s="41"/>
      <c r="H55" s="41"/>
      <c r="I55" s="41"/>
      <c r="J55" s="41"/>
      <c r="K55" s="41"/>
      <c r="L55" s="41"/>
    </row>
    <row r="56" customFormat="false" ht="15" hidden="false" customHeight="true" outlineLevel="0" collapsed="false">
      <c r="B56" s="41" t="s">
        <v>756</v>
      </c>
      <c r="C56" s="41"/>
      <c r="D56" s="41"/>
      <c r="E56" s="41"/>
      <c r="F56" s="41"/>
      <c r="G56" s="41"/>
      <c r="H56" s="41"/>
      <c r="I56" s="41"/>
      <c r="J56" s="41"/>
      <c r="K56" s="41"/>
      <c r="L56" s="41"/>
    </row>
    <row r="58" customFormat="false" ht="15" hidden="false" customHeight="false" outlineLevel="0" collapsed="false">
      <c r="B58" s="4" t="s">
        <v>757</v>
      </c>
    </row>
    <row r="59" customFormat="false" ht="27.75" hidden="false" customHeight="true" outlineLevel="0" collapsed="false">
      <c r="B59" s="41" t="s">
        <v>758</v>
      </c>
      <c r="C59" s="41"/>
      <c r="D59" s="41"/>
      <c r="E59" s="41"/>
      <c r="F59" s="41"/>
      <c r="G59" s="41"/>
      <c r="H59" s="41"/>
      <c r="I59" s="41"/>
      <c r="J59" s="41"/>
      <c r="K59" s="41"/>
      <c r="L59" s="41"/>
    </row>
    <row r="60" customFormat="false" ht="27.75" hidden="false" customHeight="true" outlineLevel="0" collapsed="false">
      <c r="B60" s="41" t="s">
        <v>759</v>
      </c>
      <c r="C60" s="41"/>
      <c r="D60" s="41"/>
      <c r="E60" s="41"/>
      <c r="F60" s="41"/>
      <c r="G60" s="41"/>
      <c r="H60" s="41"/>
      <c r="I60" s="41"/>
      <c r="J60" s="41"/>
      <c r="K60" s="41"/>
      <c r="L60" s="41"/>
    </row>
    <row r="61" customFormat="false" ht="27.75" hidden="false" customHeight="true" outlineLevel="0" collapsed="false">
      <c r="B61" s="41" t="s">
        <v>760</v>
      </c>
      <c r="C61" s="41"/>
      <c r="D61" s="41"/>
      <c r="E61" s="41"/>
      <c r="F61" s="41"/>
      <c r="G61" s="41"/>
      <c r="H61" s="41"/>
      <c r="I61" s="41"/>
      <c r="J61" s="41"/>
      <c r="K61" s="41"/>
      <c r="L61" s="41"/>
    </row>
    <row r="62" customFormat="false" ht="15" hidden="false" customHeight="true" outlineLevel="0" collapsed="false">
      <c r="B62" s="41" t="s">
        <v>761</v>
      </c>
      <c r="C62" s="41"/>
      <c r="D62" s="41"/>
      <c r="E62" s="41"/>
      <c r="F62" s="41"/>
      <c r="G62" s="41"/>
      <c r="H62" s="41"/>
      <c r="I62" s="41"/>
      <c r="J62" s="41"/>
      <c r="K62" s="41"/>
      <c r="L62" s="41"/>
    </row>
    <row r="63" customFormat="false" ht="15" hidden="false" customHeight="true" outlineLevel="0" collapsed="false">
      <c r="B63" s="41" t="s">
        <v>762</v>
      </c>
      <c r="C63" s="41"/>
      <c r="D63" s="41"/>
      <c r="E63" s="41"/>
      <c r="F63" s="41"/>
      <c r="G63" s="41"/>
      <c r="H63" s="41"/>
      <c r="I63" s="41"/>
      <c r="J63" s="41"/>
      <c r="K63" s="41"/>
      <c r="L63" s="41"/>
    </row>
  </sheetData>
  <mergeCells count="26">
    <mergeCell ref="B6:L6"/>
    <mergeCell ref="B35:L35"/>
    <mergeCell ref="B36:L36"/>
    <mergeCell ref="B37:L37"/>
    <mergeCell ref="B38:L38"/>
    <mergeCell ref="B39:L39"/>
    <mergeCell ref="B40:L40"/>
    <mergeCell ref="B41:L41"/>
    <mergeCell ref="B42:L42"/>
    <mergeCell ref="B43:L43"/>
    <mergeCell ref="B46:L46"/>
    <mergeCell ref="B47:L47"/>
    <mergeCell ref="B48:L48"/>
    <mergeCell ref="B49:L49"/>
    <mergeCell ref="B50:L50"/>
    <mergeCell ref="B51:L51"/>
    <mergeCell ref="B52:L52"/>
    <mergeCell ref="B53:L53"/>
    <mergeCell ref="B54:L54"/>
    <mergeCell ref="B55:L55"/>
    <mergeCell ref="B56:L56"/>
    <mergeCell ref="B59:L59"/>
    <mergeCell ref="B60:L60"/>
    <mergeCell ref="B61:L61"/>
    <mergeCell ref="B62:L62"/>
    <mergeCell ref="B63:L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2026-10-08T03:24:37Z</dcterms:created>
  <dc:creator>LF</dc:creator>
  <dc:description>Modelo buy-side Micron Technology (MU) - v2 07/out/26</dc:description>
  <dc:language>en-US</dc:language>
  <cp:lastModifiedBy>LF</cp:lastModifiedBy>
  <dcterms:modified xsi:type="dcterms:W3CDTF">2026-10-08T03:24:37Z</dcterms:modified>
  <cp:revision>0</cp:revision>
  <dc:subject/>
  <dc:title>Micron (MU) -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